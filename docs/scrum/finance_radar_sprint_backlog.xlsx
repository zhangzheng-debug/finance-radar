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SprintBack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F3A5F"/>
      <sz val="15"/>
    </font>
    <font>
      <name val="Microsoft YaHei"/>
      <b val="1"/>
      <color rgb="001F3A5F"/>
      <sz val="11"/>
    </font>
    <font>
      <name val="Microsoft YaHei"/>
      <b val="1"/>
      <color rgb="001F2933"/>
      <sz val="10"/>
    </font>
    <font>
      <name val="Microsoft YaHei"/>
      <color rgb="001F2933"/>
      <sz val="10"/>
    </font>
    <font>
      <name val="Microsoft YaHei"/>
      <b val="1"/>
      <color rgb="00FFFFFF"/>
      <sz val="10"/>
    </font>
    <font>
      <name val="Microsoft YaHei"/>
      <color rgb="005A6875"/>
      <sz val="9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6D8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C8D2DE"/>
      </left>
      <right style="thin">
        <color rgb="00C8D2DE"/>
      </right>
      <top style="thin">
        <color rgb="00C8D2DE"/>
      </top>
      <bottom style="thin">
        <color rgb="00C8D2DE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6" fillId="0" borderId="0" pivotButton="0" quotePrefix="0" xfId="0"/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Sprint4 燃尽图（剩余小时）</a:t>
            </a:r>
          </a:p>
        </rich>
      </tx>
    </title>
    <plotArea>
      <lineChart>
        <grouping val="standard"/>
        <ser>
          <idx val="0"/>
          <order val="0"/>
          <tx>
            <strRef>
              <f>'SprintBacklog'!$G$3</f>
            </strRef>
          </tx>
          <spPr>
            <a:ln w="22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'SprintBacklog'!$H$2:$R$2</f>
            </numRef>
          </cat>
          <val>
            <numRef>
              <f>'SprintBacklog'!$H$3:$R$3</f>
            </numRef>
          </val>
        </ser>
        <ser>
          <idx val="1"/>
          <order val="1"/>
          <tx>
            <strRef>
              <f>'SprintBacklog'!$G$4</f>
            </strRef>
          </tx>
          <spPr>
            <a:ln w="28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'SprintBacklog'!$H$2:$R$2</f>
            </numRef>
          </cat>
          <val>
            <numRef>
              <f>'SprintBacklog'!$H$4:$R$4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Sprint 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剩余小时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19</col>
      <colOff>0</colOff>
      <row>1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08" customWidth="1" min="3" max="3"/>
  </cols>
  <sheetData>
    <row r="2">
      <c r="B2" s="1" t="inlineStr">
        <is>
          <t>Sprint Backlog 填写说明 · Finance Radar Sprint4</t>
        </is>
      </c>
    </row>
    <row r="4">
      <c r="B4" s="2" t="inlineStr">
        <is>
          <t>一、这份表是什么</t>
        </is>
      </c>
    </row>
    <row r="5" ht="30" customHeight="1">
      <c r="B5" s="3" t="inlineStr">
        <is>
          <t>模板来源</t>
        </is>
      </c>
      <c r="C5" s="4" t="inlineStr">
        <is>
          <t>Scrum中文网《SprintBacklog模板》（ScrumCN.COM 版权所有）。燃尽图由 SprintBacklog 表中的数据自动生成。</t>
        </is>
      </c>
    </row>
    <row r="6" ht="30" customHeight="1">
      <c r="B6" s="3" t="inlineStr">
        <is>
          <t>本次 Sprint</t>
        </is>
      </c>
      <c r="C6" s="4" t="inlineStr">
        <is>
          <t>Sprint4 · 结论质量证据。2026-08-20 ~ 2026-09-02，10 个工作日，容量 200 小时。</t>
        </is>
      </c>
    </row>
    <row r="7" ht="30" customHeight="1">
      <c r="B7" s="3" t="inlineStr">
        <is>
          <t>Sprint 目标</t>
        </is>
      </c>
      <c r="C7" s="4" t="inlineStr">
        <is>
          <t>让 Finance Radar 第一次拿出『结论质量』的真实证据：分层抽样 → 真人复核记录 → 双人一致率 → 最小质量看板，并且每个数字都能回到抽样定义、事件 ID、证据 ID、复核者和冻结时间。</t>
        </is>
      </c>
    </row>
    <row r="8" ht="30" customHeight="1">
      <c r="B8" s="3" t="inlineStr">
        <is>
          <t>对应产品 Backlog</t>
        </is>
      </c>
      <c r="C8" s="4" t="inlineStr">
        <is>
          <t>PBI_31 ~ PBI_37（合计 59 故事点），来源于 docs/NEXT_PHASE_PLAN_2026-08-15.md 阶段 2。</t>
        </is>
      </c>
    </row>
    <row r="9">
      <c r="B9" s="2" t="inlineStr"/>
    </row>
    <row r="10">
      <c r="B10" s="2" t="inlineStr">
        <is>
          <t>二、口径声明</t>
        </is>
      </c>
    </row>
    <row r="11" ht="30" customHeight="1">
      <c r="B11" s="3" t="inlineStr">
        <is>
          <t>尚未开始</t>
        </is>
      </c>
      <c r="C11" s="4" t="inlineStr">
        <is>
          <t>本 Sprint 起始日为 2026-08-20。任务表『开始』列填的是各任务估算小时，第1~第10天为空，等每日站会后据实填写。</t>
        </is>
      </c>
    </row>
    <row r="12" ht="15" customHeight="1">
      <c r="B12" s="3" t="inlineStr">
        <is>
          <t>不得预填</t>
        </is>
      </c>
      <c r="C12" s="4" t="inlineStr">
        <is>
          <t>不要为了让燃尽图好看而预先填写未来几天的剩余小时。剩余小时是每天站会后的真实重估，可以上升。</t>
        </is>
      </c>
    </row>
    <row r="13" ht="30" customHeight="1">
      <c r="B13" s="3" t="inlineStr">
        <is>
          <t>边界不变</t>
        </is>
      </c>
      <c r="C13" s="4" t="inlineStr">
        <is>
          <t>本 Sprint 不引入交易、账户余额、仓位能力；风险模型保持 advisory SHADOW；不做任何 canonical 事实写入（PBI_37 只做只读复跑并输出批次建议）。</t>
        </is>
      </c>
    </row>
    <row r="14">
      <c r="B14" s="2" t="inlineStr"/>
    </row>
    <row r="15">
      <c r="B15" s="2" t="inlineStr">
        <is>
          <t>三、怎么用</t>
        </is>
      </c>
    </row>
    <row r="16" ht="30" customHeight="1">
      <c r="B16" s="3" t="inlineStr">
        <is>
          <t>每天要做的事</t>
        </is>
      </c>
      <c r="C16" s="4" t="inlineStr">
        <is>
          <t>站会后，在『SprintBacklog』表中对应日期列填写每个任务的剩余小时（已完成填 0）。黄底区域就是要填的地方。</t>
        </is>
      </c>
    </row>
    <row r="17" ht="30" customHeight="1">
      <c r="B17" s="3" t="inlineStr">
        <is>
          <t>燃尽线续填</t>
        </is>
      </c>
      <c r="C17" s="4" t="inlineStr">
        <is>
          <t>在『实际剩余』行的同一列填入该列的合计，例如第1天（I 列）填 =SUM(I6:I31)，第2天填 =SUM(J6:J31)，依此类推。</t>
        </is>
      </c>
    </row>
    <row r="18" ht="30" customHeight="1">
      <c r="B18" s="3" t="inlineStr">
        <is>
          <t>Sprint 中新增任务</t>
        </is>
      </c>
      <c r="C18" s="4" t="inlineStr">
        <is>
          <t>直接在任务表末尾追加行，优先级留空或续编；新增任务会推高剩余小时并在燃尽图上表现为上翘，这是正常且应当保留的事实。</t>
        </is>
      </c>
    </row>
    <row r="19" ht="30" customHeight="1">
      <c r="B19" s="3" t="inlineStr">
        <is>
          <t>角色</t>
        </is>
      </c>
      <c r="C19" s="4" t="inlineStr">
        <is>
          <t>PO＝需求、验收口径与对外表述；SM＝架构、实现、部署与发布；QA＝测试、盲审边界、可访问性与回归。两人配置时合并 PO 与 SM，QA 保持相对独立。</t>
        </is>
      </c>
    </row>
    <row r="20">
      <c r="B20" s="2" t="inlineStr"/>
    </row>
    <row r="21">
      <c r="B21" s="2" t="inlineStr">
        <is>
          <t>四、本 Sprint 的验收门（全部满足才算完成）</t>
        </is>
      </c>
    </row>
    <row r="22" ht="15" customHeight="1">
      <c r="B22" s="3" t="inlineStr">
        <is>
          <t>覆盖面</t>
        </is>
      </c>
      <c r="C22" s="4" t="inlineStr">
        <is>
          <t>抽样覆盖 ≥3 个来源层级与 ≥5 个主要事件类别，不只报告总体平均数。</t>
        </is>
      </c>
    </row>
    <row r="23" ht="15" customHeight="1">
      <c r="B23" s="3" t="inlineStr">
        <is>
          <t>可回溯</t>
        </is>
      </c>
      <c r="C23" s="4" t="inlineStr">
        <is>
          <t>每个质量数字都能回到抽样定义、事件 ID、证据 ID、复核者与冻结时间。</t>
        </is>
      </c>
    </row>
    <row r="24" ht="15" customHeight="1">
      <c r="B24" s="3" t="inlineStr">
        <is>
          <t>诚实缺口</t>
        </is>
      </c>
      <c r="C24" s="4" t="inlineStr">
        <is>
          <t>样本不足时显示 UNAVAILABLE 或置信区间，不用模型自评替代人工质量证据。</t>
        </is>
      </c>
    </row>
    <row r="25" ht="15" customHeight="1">
      <c r="B25" s="3" t="inlineStr">
        <is>
          <t>不扩权</t>
        </is>
      </c>
      <c r="C25" s="4" t="inlineStr">
        <is>
          <t>若复核经常改变正式结论，优先修证据与规则，不扩大模型权限。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1"/>
  <sheetViews>
    <sheetView showGridLines="0"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10" customWidth="1" min="3" max="3"/>
    <col width="62" customWidth="1" min="4" max="4"/>
    <col width="9" customWidth="1" min="5" max="5"/>
    <col width="10" customWidth="1" min="6" max="6"/>
    <col width="11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>
      <c r="A1" s="1" t="inlineStr">
        <is>
          <t>Sprint Backlog</t>
        </is>
      </c>
      <c r="B1" s="5" t="inlineStr">
        <is>
          <t>Sprint</t>
        </is>
      </c>
      <c r="D1" s="6" t="inlineStr">
        <is>
          <t>Sprint4 · 结论质量证据</t>
        </is>
      </c>
      <c r="H1" s="2" t="inlineStr">
        <is>
          <t>燃尽图数据（剩余小时）</t>
        </is>
      </c>
    </row>
    <row r="2">
      <c r="B2" s="5" t="inlineStr">
        <is>
          <t>起止日期</t>
        </is>
      </c>
      <c r="D2" s="6" t="inlineStr">
        <is>
          <t>2026-08-20 ~ 2026-09-02（2周 / 10个工作日）</t>
        </is>
      </c>
      <c r="H2" s="7" t="inlineStr">
        <is>
          <t>开始</t>
        </is>
      </c>
      <c r="I2" s="7" t="inlineStr">
        <is>
          <t>第1天</t>
        </is>
      </c>
      <c r="J2" s="7" t="inlineStr">
        <is>
          <t>第2天</t>
        </is>
      </c>
      <c r="K2" s="7" t="inlineStr">
        <is>
          <t>第3天</t>
        </is>
      </c>
      <c r="L2" s="7" t="inlineStr">
        <is>
          <t>第4天</t>
        </is>
      </c>
      <c r="M2" s="7" t="inlineStr">
        <is>
          <t>第5天</t>
        </is>
      </c>
      <c r="N2" s="7" t="inlineStr">
        <is>
          <t>第6天</t>
        </is>
      </c>
      <c r="O2" s="7" t="inlineStr">
        <is>
          <t>第7天</t>
        </is>
      </c>
      <c r="P2" s="7" t="inlineStr">
        <is>
          <t>第8天</t>
        </is>
      </c>
      <c r="Q2" s="7" t="inlineStr">
        <is>
          <t>第9天</t>
        </is>
      </c>
      <c r="R2" s="7" t="inlineStr">
        <is>
          <t>第10天</t>
        </is>
      </c>
    </row>
    <row r="3">
      <c r="B3" s="5" t="inlineStr">
        <is>
          <t>Sprint 目标</t>
        </is>
      </c>
      <c r="D3" s="6" t="inlineStr">
        <is>
          <t>拿出可回溯的结论质量证据：分层抽样 → 真人复核记录 → 双人一致率 → 最小质量看板</t>
        </is>
      </c>
      <c r="G3" s="8" t="inlineStr">
        <is>
          <t>计划剩余</t>
        </is>
      </c>
      <c r="H3" s="9">
        <f>SUM($G$6:$G$31)</f>
        <v/>
      </c>
      <c r="I3" s="9">
        <f>ROUND($H$3*9/10,0)</f>
        <v/>
      </c>
      <c r="J3" s="9">
        <f>ROUND($H$3*8/10,0)</f>
        <v/>
      </c>
      <c r="K3" s="9">
        <f>ROUND($H$3*7/10,0)</f>
        <v/>
      </c>
      <c r="L3" s="9">
        <f>ROUND($H$3*6/10,0)</f>
        <v/>
      </c>
      <c r="M3" s="9">
        <f>ROUND($H$3*5/10,0)</f>
        <v/>
      </c>
      <c r="N3" s="9">
        <f>ROUND($H$3*4/10,0)</f>
        <v/>
      </c>
      <c r="O3" s="9">
        <f>ROUND($H$3*3/10,0)</f>
        <v/>
      </c>
      <c r="P3" s="9">
        <f>ROUND($H$3*2/10,0)</f>
        <v/>
      </c>
      <c r="Q3" s="9">
        <f>ROUND($H$3*1/10,0)</f>
        <v/>
      </c>
      <c r="R3" s="9" t="n">
        <v>0</v>
      </c>
    </row>
    <row r="4">
      <c r="B4" s="5" t="inlineStr">
        <is>
          <t>团队 / 边界</t>
        </is>
      </c>
      <c r="D4" s="6" t="inlineStr">
        <is>
          <t>PO / SM / QA；只读系统，模型保持 advisory SHADOW，本 Sprint 无 canonical 写入</t>
        </is>
      </c>
      <c r="G4" s="8" t="inlineStr">
        <is>
          <t>实际剩余</t>
        </is>
      </c>
      <c r="H4" s="9">
        <f>SUM(H6:H31)</f>
        <v/>
      </c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</row>
    <row r="5" ht="30" customHeight="1">
      <c r="A5" s="7" t="inlineStr">
        <is>
          <t>编号</t>
        </is>
      </c>
      <c r="B5" s="7" t="inlineStr">
        <is>
          <t>用户故事</t>
        </is>
      </c>
      <c r="C5" s="7" t="inlineStr">
        <is>
          <t>用户估算点</t>
        </is>
      </c>
      <c r="D5" s="7" t="inlineStr">
        <is>
          <t>任务</t>
        </is>
      </c>
      <c r="E5" s="7" t="inlineStr">
        <is>
          <t>优先级</t>
        </is>
      </c>
      <c r="F5" s="7" t="inlineStr">
        <is>
          <t>负责角色</t>
        </is>
      </c>
      <c r="G5" s="7" t="inlineStr">
        <is>
          <t>估算（小时）</t>
        </is>
      </c>
      <c r="H5" s="11" t="inlineStr">
        <is>
          <t>每日站会后在下方任务表填写剩余小时，再在本行同列填 =SUM(&lt;列&gt;6:&lt;列&gt;31)。</t>
        </is>
      </c>
    </row>
    <row r="6" ht="30" customHeight="1">
      <c r="A6" s="9" t="n">
        <v>1</v>
      </c>
      <c r="B6" s="12" t="inlineStr">
        <is>
          <t>PBI_31 分层抽样待核验事件</t>
        </is>
      </c>
      <c r="C6" s="9" t="n">
        <v>8</v>
      </c>
      <c r="D6" s="13" t="inlineStr">
        <is>
          <t>定义分层抽样合同：来源层级 / 事件类别 / 证据状态 / 时间窗与配额</t>
        </is>
      </c>
      <c r="E6" s="9" t="n">
        <v>100</v>
      </c>
      <c r="F6" s="9" t="inlineStr">
        <is>
          <t>PO</t>
        </is>
      </c>
      <c r="G6" s="9" t="n">
        <v>6</v>
      </c>
      <c r="H6" s="14" t="n">
        <v>6</v>
      </c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</row>
    <row r="7" ht="30" customHeight="1">
      <c r="A7" s="15" t="n">
        <v>2</v>
      </c>
      <c r="B7" s="16" t="n"/>
      <c r="C7" s="15" t="n"/>
      <c r="D7" s="16" t="inlineStr">
        <is>
          <t>实现确定性分层抽样脚本并输出抽样清单</t>
        </is>
      </c>
      <c r="E7" s="15" t="n">
        <v>200</v>
      </c>
      <c r="F7" s="15" t="inlineStr">
        <is>
          <t>SM</t>
        </is>
      </c>
      <c r="G7" s="15" t="n">
        <v>12</v>
      </c>
      <c r="H7" s="14" t="n">
        <v>12</v>
      </c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</row>
    <row r="8" ht="30" customHeight="1">
      <c r="A8" s="9" t="n">
        <v>3</v>
      </c>
      <c r="B8" s="13" t="n"/>
      <c r="C8" s="9" t="n"/>
      <c r="D8" s="13" t="inlineStr">
        <is>
          <t>抽样清单绑定冻结时间与哈希，排除历史盲集与精确/近重复</t>
        </is>
      </c>
      <c r="E8" s="9" t="n">
        <v>300</v>
      </c>
      <c r="F8" s="9" t="inlineStr">
        <is>
          <t>SM</t>
        </is>
      </c>
      <c r="G8" s="9" t="n">
        <v>6</v>
      </c>
      <c r="H8" s="14" t="n">
        <v>6</v>
      </c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</row>
    <row r="9" ht="30" customHeight="1">
      <c r="A9" s="15" t="n">
        <v>4</v>
      </c>
      <c r="B9" s="16" t="n"/>
      <c r="C9" s="15" t="n"/>
      <c r="D9" s="16" t="inlineStr">
        <is>
          <t>抽样单元测试：配额、去重、可重复性与空样本边界</t>
        </is>
      </c>
      <c r="E9" s="15" t="n">
        <v>400</v>
      </c>
      <c r="F9" s="15" t="inlineStr">
        <is>
          <t>QA</t>
        </is>
      </c>
      <c r="G9" s="15" t="n">
        <v>6</v>
      </c>
      <c r="H9" s="14" t="n">
        <v>6</v>
      </c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</row>
    <row r="10" ht="30" customHeight="1">
      <c r="A10" s="9" t="n">
        <v>5</v>
      </c>
      <c r="B10" s="12" t="inlineStr">
        <is>
          <t>PBI_32 复核结论记录合同</t>
        </is>
      </c>
      <c r="C10" s="9" t="n">
        <v>8</v>
      </c>
      <c r="D10" s="13" t="inlineStr">
        <is>
          <t>扩展复核记录合同：足够性 / 结论变更 / 撤回 / 理由码</t>
        </is>
      </c>
      <c r="E10" s="9" t="n">
        <v>500</v>
      </c>
      <c r="F10" s="9" t="inlineStr">
        <is>
          <t>PO</t>
        </is>
      </c>
      <c r="G10" s="9" t="n">
        <v>6</v>
      </c>
      <c r="H10" s="14" t="n">
        <v>6</v>
      </c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</row>
    <row r="11" ht="30" customHeight="1">
      <c r="A11" s="15" t="n">
        <v>6</v>
      </c>
      <c r="B11" s="16" t="n"/>
      <c r="C11" s="15" t="n"/>
      <c r="D11" s="16" t="inlineStr">
        <is>
          <t>Reviewer 工作面表单与服务端凭据主体哈希写入</t>
        </is>
      </c>
      <c r="E11" s="15" t="n">
        <v>600</v>
      </c>
      <c r="F11" s="15" t="inlineStr">
        <is>
          <t>SM</t>
        </is>
      </c>
      <c r="G11" s="15" t="n">
        <v>10</v>
      </c>
      <c r="H11" s="14" t="n">
        <v>10</v>
      </c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</row>
    <row r="12" ht="30" customHeight="1">
      <c r="A12" s="9" t="n">
        <v>7</v>
      </c>
      <c r="B12" s="13" t="n"/>
      <c r="C12" s="9" t="n"/>
      <c r="D12" s="13" t="inlineStr">
        <is>
          <t>只读回显、撤回路径与角色边界测试</t>
        </is>
      </c>
      <c r="E12" s="9" t="n">
        <v>700</v>
      </c>
      <c r="F12" s="9" t="inlineStr">
        <is>
          <t>QA</t>
        </is>
      </c>
      <c r="G12" s="9" t="n">
        <v>6</v>
      </c>
      <c r="H12" s="14" t="n">
        <v>6</v>
      </c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</row>
    <row r="13" ht="30" customHeight="1">
      <c r="A13" s="15" t="n">
        <v>8</v>
      </c>
      <c r="B13" s="17" t="inlineStr">
        <is>
          <t>PBI_33 双人独立复核一致率</t>
        </is>
      </c>
      <c r="C13" s="15" t="n">
        <v>13</v>
      </c>
      <c r="D13" s="16" t="inlineStr">
        <is>
          <t>同一子样本双人独立分配、互不可见与第三人裁决路由</t>
        </is>
      </c>
      <c r="E13" s="15" t="n">
        <v>800</v>
      </c>
      <c r="F13" s="15" t="inlineStr">
        <is>
          <t>SM</t>
        </is>
      </c>
      <c r="G13" s="15" t="n">
        <v>8</v>
      </c>
      <c r="H13" s="14" t="n">
        <v>8</v>
      </c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</row>
    <row r="14" ht="30" customHeight="1">
      <c r="A14" s="9" t="n">
        <v>9</v>
      </c>
      <c r="B14" s="13" t="n"/>
      <c r="C14" s="9" t="n"/>
      <c r="D14" s="13" t="inlineStr">
        <is>
          <t>一致率（含 kappa）与分歧类型统计</t>
        </is>
      </c>
      <c r="E14" s="9" t="n">
        <v>900</v>
      </c>
      <c r="F14" s="9" t="inlineStr">
        <is>
          <t>QA</t>
        </is>
      </c>
      <c r="G14" s="9" t="n">
        <v>10</v>
      </c>
      <c r="H14" s="14" t="n">
        <v>10</v>
      </c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</row>
    <row r="15" ht="30" customHeight="1">
      <c r="A15" s="15" t="n">
        <v>10</v>
      </c>
      <c r="B15" s="16" t="n"/>
      <c r="C15" s="15" t="n"/>
      <c r="D15" s="16" t="inlineStr">
        <is>
          <t>AI 输出禁止进入盲审输入的门禁测试</t>
        </is>
      </c>
      <c r="E15" s="15" t="n">
        <v>1000</v>
      </c>
      <c r="F15" s="15" t="inlineStr">
        <is>
          <t>QA</t>
        </is>
      </c>
      <c r="G15" s="15" t="n">
        <v>6</v>
      </c>
      <c r="H15" s="14" t="n">
        <v>6</v>
      </c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</row>
    <row r="16" ht="30" customHeight="1">
      <c r="A16" s="9" t="n">
        <v>11</v>
      </c>
      <c r="B16" s="13" t="n"/>
      <c r="C16" s="9" t="n"/>
      <c r="D16" s="13" t="inlineStr">
        <is>
          <t>裁决结论与样本版本冻结收据</t>
        </is>
      </c>
      <c r="E16" s="9" t="n">
        <v>1100</v>
      </c>
      <c r="F16" s="9" t="inlineStr">
        <is>
          <t>SM</t>
        </is>
      </c>
      <c r="G16" s="9" t="n">
        <v>8</v>
      </c>
      <c r="H16" s="14" t="n">
        <v>8</v>
      </c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</row>
    <row r="17" ht="30" customHeight="1">
      <c r="A17" s="15" t="n">
        <v>12</v>
      </c>
      <c r="B17" s="17" t="inlineStr">
        <is>
          <t>PBI_34 最小研究质量看板</t>
        </is>
      </c>
      <c r="C17" s="15" t="n">
        <v>13</v>
      </c>
      <c r="D17" s="16" t="inlineStr">
        <is>
          <t>指标定义与测量窗口：到达原文用时 / 可引用证据覆盖 / 结论变更率 / 撤回率 / 队列年龄</t>
        </is>
      </c>
      <c r="E17" s="15" t="n">
        <v>1200</v>
      </c>
      <c r="F17" s="15" t="inlineStr">
        <is>
          <t>PO</t>
        </is>
      </c>
      <c r="G17" s="15" t="n">
        <v>6</v>
      </c>
      <c r="H17" s="14" t="n">
        <v>6</v>
      </c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</row>
    <row r="18" ht="30" customHeight="1">
      <c r="A18" s="9" t="n">
        <v>13</v>
      </c>
      <c r="B18" s="13" t="n"/>
      <c r="C18" s="9" t="n"/>
      <c r="D18" s="13" t="inlineStr">
        <is>
          <t>指标计算脚本，输出样本量、测量窗口与数据来源</t>
        </is>
      </c>
      <c r="E18" s="9" t="n">
        <v>1300</v>
      </c>
      <c r="F18" s="9" t="inlineStr">
        <is>
          <t>SM</t>
        </is>
      </c>
      <c r="G18" s="9" t="n">
        <v>14</v>
      </c>
      <c r="H18" s="14" t="n">
        <v>14</v>
      </c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</row>
    <row r="19" ht="30" customHeight="1">
      <c r="A19" s="15" t="n">
        <v>14</v>
      </c>
      <c r="B19" s="16" t="n"/>
      <c r="C19" s="15" t="n"/>
      <c r="D19" s="16" t="inlineStr">
        <is>
          <t>Operations 页看板渲染与中文状态说明（含 UNAVAILABLE / 置信区间）</t>
        </is>
      </c>
      <c r="E19" s="15" t="n">
        <v>1400</v>
      </c>
      <c r="F19" s="15" t="inlineStr">
        <is>
          <t>SM</t>
        </is>
      </c>
      <c r="G19" s="15" t="n">
        <v>14</v>
      </c>
      <c r="H19" s="14" t="n">
        <v>14</v>
      </c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</row>
    <row r="20" ht="30" customHeight="1">
      <c r="A20" s="9" t="n">
        <v>15</v>
      </c>
      <c r="B20" s="13" t="n"/>
      <c r="C20" s="9" t="n"/>
      <c r="D20" s="13" t="inlineStr">
        <is>
          <t>分层展示：≥3 来源层级、≥5 事件类别，不只报总体均值</t>
        </is>
      </c>
      <c r="E20" s="9" t="n">
        <v>1500</v>
      </c>
      <c r="F20" s="9" t="inlineStr">
        <is>
          <t>PO</t>
        </is>
      </c>
      <c r="G20" s="9" t="n">
        <v>8</v>
      </c>
      <c r="H20" s="14" t="n">
        <v>8</v>
      </c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</row>
    <row r="21" ht="30" customHeight="1">
      <c r="A21" s="15" t="n">
        <v>16</v>
      </c>
      <c r="B21" s="16" t="n"/>
      <c r="C21" s="15" t="n"/>
      <c r="D21" s="16" t="inlineStr">
        <is>
          <t>看板窄屏、键盘与对比度检查并保留证据</t>
        </is>
      </c>
      <c r="E21" s="15" t="n">
        <v>1600</v>
      </c>
      <c r="F21" s="15" t="inlineStr">
        <is>
          <t>QA</t>
        </is>
      </c>
      <c r="G21" s="15" t="n">
        <v>6</v>
      </c>
      <c r="H21" s="14" t="n">
        <v>6</v>
      </c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</row>
    <row r="22" ht="30" customHeight="1">
      <c r="A22" s="9" t="n">
        <v>17</v>
      </c>
      <c r="B22" s="12" t="inlineStr">
        <is>
          <t>PBI_35 质量数字可回溯</t>
        </is>
      </c>
      <c r="C22" s="9" t="n">
        <v>5</v>
      </c>
      <c r="D22" s="13" t="inlineStr">
        <is>
          <t>指标回链抽样定义、事件 ID、证据 ID、复核者与冻结时间</t>
        </is>
      </c>
      <c r="E22" s="9" t="n">
        <v>1700</v>
      </c>
      <c r="F22" s="9" t="inlineStr">
        <is>
          <t>SM</t>
        </is>
      </c>
      <c r="G22" s="9" t="n">
        <v>8</v>
      </c>
      <c r="H22" s="14" t="n">
        <v>8</v>
      </c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</row>
    <row r="23" ht="30" customHeight="1">
      <c r="A23" s="15" t="n">
        <v>18</v>
      </c>
      <c r="B23" s="16" t="n"/>
      <c r="C23" s="15" t="n"/>
      <c r="D23" s="16" t="inlineStr">
        <is>
          <t>回溯链完整性测试与公开输出脱敏检查</t>
        </is>
      </c>
      <c r="E23" s="15" t="n">
        <v>1800</v>
      </c>
      <c r="F23" s="15" t="inlineStr">
        <is>
          <t>QA</t>
        </is>
      </c>
      <c r="G23" s="15" t="n">
        <v>6</v>
      </c>
      <c r="H23" s="14" t="n">
        <v>6</v>
      </c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</row>
    <row r="24" ht="30" customHeight="1">
      <c r="A24" s="9" t="n">
        <v>19</v>
      </c>
      <c r="B24" s="12" t="inlineStr">
        <is>
          <t>PBI_36 Worker 失效来源 DEGRADED</t>
        </is>
      </c>
      <c r="C24" s="9" t="n">
        <v>6</v>
      </c>
      <c r="D24" s="13" t="inlineStr">
        <is>
          <t>复现并定位失效原始来源 404，输出根因记录</t>
        </is>
      </c>
      <c r="E24" s="9" t="n">
        <v>1900</v>
      </c>
      <c r="F24" s="9" t="inlineStr">
        <is>
          <t>QA</t>
        </is>
      </c>
      <c r="G24" s="9" t="n">
        <v>6</v>
      </c>
      <c r="H24" s="14" t="n">
        <v>6</v>
      </c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</row>
    <row r="25" ht="30" customHeight="1">
      <c r="A25" s="15" t="n">
        <v>20</v>
      </c>
      <c r="B25" s="16" t="n"/>
      <c r="C25" s="15" t="n"/>
      <c r="D25" s="16" t="inlineStr">
        <is>
          <t>来源退役 / 替换流程与来源健康分级表达</t>
        </is>
      </c>
      <c r="E25" s="15" t="n">
        <v>2000</v>
      </c>
      <c r="F25" s="15" t="inlineStr">
        <is>
          <t>SM</t>
        </is>
      </c>
      <c r="G25" s="15" t="n">
        <v>8</v>
      </c>
      <c r="H25" s="14" t="n">
        <v>8</v>
      </c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</row>
    <row r="26" ht="30" customHeight="1">
      <c r="A26" s="9" t="n">
        <v>21</v>
      </c>
      <c r="B26" s="13" t="n"/>
      <c r="C26" s="9" t="n"/>
      <c r="D26" s="13" t="inlineStr">
        <is>
          <t>回归测试：单来源 404 只降级该子状态且不阻断周期</t>
        </is>
      </c>
      <c r="E26" s="9" t="n">
        <v>2100</v>
      </c>
      <c r="F26" s="9" t="inlineStr">
        <is>
          <t>QA</t>
        </is>
      </c>
      <c r="G26" s="9" t="n">
        <v>4</v>
      </c>
      <c r="H26" s="14" t="n">
        <v>4</v>
      </c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</row>
    <row r="27" ht="30" customHeight="1">
      <c r="A27" s="15" t="n">
        <v>22</v>
      </c>
      <c r="B27" s="17" t="inlineStr">
        <is>
          <t>PBI_37 生产只读复跑 v2 审计</t>
        </is>
      </c>
      <c r="C27" s="15" t="n">
        <v>6</v>
      </c>
      <c r="D27" s="16" t="inlineStr">
        <is>
          <t>生产两库只读复跑 audit_fact_integrity_history.py</t>
        </is>
      </c>
      <c r="E27" s="15" t="n">
        <v>2200</v>
      </c>
      <c r="F27" s="15" t="inlineStr">
        <is>
          <t>SM</t>
        </is>
      </c>
      <c r="G27" s="15" t="n">
        <v>6</v>
      </c>
      <c r="H27" s="14" t="n">
        <v>6</v>
      </c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</row>
    <row r="28" ht="30" customHeight="1">
      <c r="A28" s="9" t="n">
        <v>23</v>
      </c>
      <c r="B28" s="13" t="n"/>
      <c r="C28" s="9" t="n"/>
      <c r="D28" s="13" t="inlineStr">
        <is>
          <t>保存 JSON / Markdown 与 SHA-256 并更新 CURRENT_STATE</t>
        </is>
      </c>
      <c r="E28" s="9" t="n">
        <v>2300</v>
      </c>
      <c r="F28" s="9" t="inlineStr">
        <is>
          <t>PO</t>
        </is>
      </c>
      <c r="G28" s="9" t="n">
        <v>4</v>
      </c>
      <c r="H28" s="14" t="n">
        <v>4</v>
      </c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</row>
    <row r="29" ht="30" customHeight="1">
      <c r="A29" s="15" t="n">
        <v>24</v>
      </c>
      <c r="B29" s="16" t="n"/>
      <c r="C29" s="15" t="n"/>
      <c r="D29" s="16" t="inlineStr">
        <is>
          <t>按 review_reasons 生成 A/B/C/D 限额批次建议（不执行任何写入）</t>
        </is>
      </c>
      <c r="E29" s="15" t="n">
        <v>2400</v>
      </c>
      <c r="F29" s="15" t="inlineStr">
        <is>
          <t>PO</t>
        </is>
      </c>
      <c r="G29" s="15" t="n">
        <v>8</v>
      </c>
      <c r="H29" s="14" t="n">
        <v>8</v>
      </c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</row>
    <row r="30" ht="30" customHeight="1">
      <c r="A30" s="9" t="n">
        <v>25</v>
      </c>
      <c r="B30" s="12" t="inlineStr">
        <is>
          <t>Sprint 例行</t>
        </is>
      </c>
      <c r="C30" s="9" t="n"/>
      <c r="D30" s="13" t="inlineStr">
        <is>
          <t>Sprint 评审、回顾与下一轮范围调整</t>
        </is>
      </c>
      <c r="E30" s="9" t="n">
        <v>2500</v>
      </c>
      <c r="F30" s="9" t="inlineStr">
        <is>
          <t>PO</t>
        </is>
      </c>
      <c r="G30" s="9" t="n">
        <v>6</v>
      </c>
      <c r="H30" s="14" t="n">
        <v>6</v>
      </c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</row>
    <row r="31" ht="30" customHeight="1">
      <c r="A31" s="15" t="n">
        <v>26</v>
      </c>
      <c r="B31" s="16" t="n"/>
      <c r="C31" s="15" t="n"/>
      <c r="D31" s="16" t="inlineStr">
        <is>
          <t>发布 2026.09.02.1：事务式部署、恢复门与切换后现场验收</t>
        </is>
      </c>
      <c r="E31" s="15" t="n">
        <v>2600</v>
      </c>
      <c r="F31" s="15" t="inlineStr">
        <is>
          <t>SM</t>
        </is>
      </c>
      <c r="G31" s="15" t="n">
        <v>12</v>
      </c>
      <c r="H31" s="14" t="n">
        <v>12</v>
      </c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2026-08-20T09:38:43Z</dcterms:created>
  <dcterms:modified xsi:type="dcterms:W3CDTF">2026-08-20T09:38:43Z</dcterms:modified>
</cp:coreProperties>
</file>