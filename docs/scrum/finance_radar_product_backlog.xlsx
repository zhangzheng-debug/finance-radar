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产品Backlog" sheetId="2" state="visible" r:id="rId2"/>
    <sheet name="团队速率" sheetId="3" state="visible" r:id="rId3"/>
  </sheets>
  <definedNames>
    <definedName name="_xlnm._FilterDatabase" localSheetId="1" hidden="1">'产品Backlog'!$A$6:$M$57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Microsoft YaHei"/>
      <b val="1"/>
      <color rgb="001F3A5F"/>
      <sz val="15"/>
    </font>
    <font>
      <name val="Microsoft YaHei"/>
      <b val="1"/>
      <color rgb="001F3A5F"/>
      <sz val="11"/>
    </font>
    <font>
      <name val="Microsoft YaHei"/>
      <b val="1"/>
      <color rgb="001F2933"/>
      <sz val="10"/>
    </font>
    <font>
      <name val="Microsoft YaHei"/>
      <color rgb="001F2933"/>
      <sz val="10"/>
    </font>
    <font>
      <name val="Microsoft YaHei"/>
      <b val="1"/>
      <color rgb="00FFFFFF"/>
      <sz val="10"/>
    </font>
    <font>
      <name val="Microsoft YaHei"/>
      <color rgb="005A6875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8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产品燃尽图（剩余故事点）</a:t>
            </a:r>
          </a:p>
        </rich>
      </tx>
    </title>
    <plotArea>
      <lineChart>
        <grouping val="standard"/>
        <ser>
          <idx val="0"/>
          <order val="0"/>
          <tx>
            <strRef>
              <f>'产品Backlog'!$N$3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'产品Backlog'!$O$2:$U$2</f>
            </numRef>
          </cat>
          <val>
            <numRef>
              <f>'产品Backlog'!$O$3:$U$3</f>
            </numRef>
          </val>
        </ser>
        <ser>
          <idx val="1"/>
          <order val="1"/>
          <tx>
            <strRef>
              <f>'产品Backlog'!$N$4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'产品Backlog'!$O$2:$U$2</f>
            </numRef>
          </cat>
          <val>
            <numRef>
              <f>'产品Backlog'!$O$4:$U$4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剩余故事点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团队速率趋势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'团队速率'!B6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'团队速率'!$C$5:$H$5</f>
            </numRef>
          </cat>
          <val>
            <numRef>
              <f>'团队速率'!$C$6:$H$6</f>
            </numRef>
          </val>
        </ser>
        <ser>
          <idx val="1"/>
          <order val="1"/>
          <tx>
            <strRef>
              <f>'团队速率'!B7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'团队速率'!$C$5:$H$5</f>
            </numRef>
          </cat>
          <val>
            <numRef>
              <f>'团队速率'!$C$7:$H$7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故事点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6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8" customWidth="1" min="3" max="3"/>
  </cols>
  <sheetData>
    <row r="2">
      <c r="B2" s="1" t="inlineStr">
        <is>
          <t>产品 Backlog 填写说明 · Finance Radar</t>
        </is>
      </c>
    </row>
    <row r="4">
      <c r="B4" s="2" t="inlineStr">
        <is>
          <t>一、这份表是什么</t>
        </is>
      </c>
    </row>
    <row r="5" ht="30" customHeight="1">
      <c r="B5" s="3" t="inlineStr">
        <is>
          <t>模板来源</t>
        </is>
      </c>
      <c r="C5" s="4" t="inlineStr">
        <is>
          <t>Scrum中文网《产品Backlog模板》（ScrumCN.COM 版权所有），结构与列名保持原样，仅补充『依据』列用于回溯。</t>
        </is>
      </c>
    </row>
    <row r="6" ht="105" customHeight="1">
      <c r="B6" s="3" t="inlineStr">
        <is>
          <t>内容来源</t>
        </is>
      </c>
      <c r="C6" s="4" t="inlineStr">
        <is>
          <t>本仓库 zhangzheng-debug/finance-radar 截至 2026-08-20 的实际交付与计划：CURRENT_STATE.md、CHANGELOG.md、ACCEPTANCE_STATUS.md、financial_event_radar_project_plan_v6_0_ai.md、docs/NEXT_PHASE_PLAN_2026-08-15.md、docs/OPEN_GOVERNANCE_VIOLATIONS.md、docs/OWNER_INTENT_AND_SYSTEM_DOCTRINE.md、reports/HISTORICAL_INTEGRITY_DEBT_OPTIONS_2026-08-19.md。</t>
        </is>
      </c>
    </row>
    <row r="7" ht="30" customHeight="1">
      <c r="B7" s="3" t="inlineStr">
        <is>
          <t>产品</t>
        </is>
      </c>
      <c r="C7" s="4" t="inlineStr">
        <is>
          <t>Finance Radar 金融事件证据雷达：只读、可追溯、可回放的金融事件情报系统。不下单、不读账户余额与仓位、不自动把模型分数认定为事实。</t>
        </is>
      </c>
    </row>
    <row r="8" ht="30" customHeight="1">
      <c r="B8" s="3" t="inlineStr">
        <is>
          <t>当前运行版本</t>
        </is>
      </c>
      <c r="C8" s="4" t="inlineStr">
        <is>
          <t>2026.08.19.1（AWS us-east-1，i-0fa9bfafa5eab00bf）。风险路由器保持 advisory QUALIFIED_SHADOW，未晋级。</t>
        </is>
      </c>
    </row>
    <row r="9">
      <c r="B9" s="2" t="inlineStr"/>
    </row>
    <row r="10">
      <c r="B10" s="2" t="inlineStr">
        <is>
          <t>二、口径声明（重要，请勿删除）</t>
        </is>
      </c>
    </row>
    <row r="11" ht="30" customHeight="1">
      <c r="B11" s="3" t="inlineStr">
        <is>
          <t>故事点是回溯估算</t>
        </is>
      </c>
      <c r="C11" s="4" t="inlineStr">
        <is>
          <t>本仓库当时没有记录故事点。表中的初始工作量估计是按已合并 PR、CHANGELOG 条目和验收记录的交付范围事后重建的相对规模，只用于本表的燃尽与速率参考，不能当作当时现场的团队估算证据。</t>
        </is>
      </c>
    </row>
    <row r="12" ht="45" customHeight="1">
      <c r="B12" s="3" t="inlineStr">
        <is>
          <t>『完成』的含义</t>
        </is>
      </c>
      <c r="C12" s="4" t="inlineStr">
        <is>
          <t>Sprint1–Sprint3 的『完成』指已合并、已发布并在对应部署窗口现场核验；不代表服务器此刻的实时状态。任何『服务器现在怎样』的问题必须重新现场核验（见 CURRENT_STATE.md 与 FR-STATE-001）。</t>
        </is>
      </c>
    </row>
    <row r="13" ht="30" customHeight="1">
      <c r="B13" s="3" t="inlineStr">
        <is>
          <t>Sprint 日历长度不等</t>
        </is>
      </c>
      <c r="C13" s="4" t="inlineStr">
        <is>
          <t>Sprint1、Sprint2 覆盖的日历跨度远长于两周，Sprint3 只有 4 天。因此『团队速率』表中的点数不可直接横向比较，只能作为同一 Sprint 内计划与实际的对照。</t>
        </is>
      </c>
    </row>
    <row r="14" ht="30" customHeight="1">
      <c r="B14" s="3" t="inlineStr">
        <is>
          <t>尚未发生的不填</t>
        </is>
      </c>
      <c r="C14" s="4" t="inlineStr">
        <is>
          <t>Sprint4–Sprint6 的状态一律为『未开始』，实际燃尽线在 Sprint3 之后留空，等真实完成后再填。</t>
        </is>
      </c>
    </row>
    <row r="15">
      <c r="B15" s="2" t="inlineStr"/>
    </row>
    <row r="16">
      <c r="B16" s="2" t="inlineStr">
        <is>
          <t>三、怎么用</t>
        </is>
      </c>
    </row>
    <row r="17" ht="30" customHeight="1">
      <c r="B17" s="3" t="inlineStr">
        <is>
          <t>要手工填的列</t>
        </is>
      </c>
      <c r="C17" s="4" t="inlineStr">
        <is>
          <t>『状态』列（下拉：未开始 / 进行中 / 完成 / Bug / 已取消）与『初始工作量估计』『调整系数』。黄底单元格是需要你维护的输入。</t>
        </is>
      </c>
    </row>
    <row r="18" ht="30" customHeight="1">
      <c r="B18" s="3" t="inlineStr">
        <is>
          <t>自动计算的列</t>
        </is>
      </c>
      <c r="C18" s="4" t="inlineStr">
        <is>
          <t>『调整后工作量估计』= 初始估计 × 调整系数（四舍五入）。右上角总量、已完成、剩余与燃尽实际线均为公式，随状态自动更新。</t>
        </is>
      </c>
    </row>
    <row r="19" ht="30" customHeight="1">
      <c r="B19" s="3" t="inlineStr">
        <is>
          <t>调整系数怎么用</t>
        </is>
      </c>
      <c r="C19" s="4" t="inlineStr">
        <is>
          <t>1.0 = 范围清楚；1.2 = 依赖外部窗口或他人（生产复跑、教师批准、真实用户计时）；1.3 = 需要单独的动作级授权或破坏性动作（公共 Release 恢复密文处置、历史证据边批量重跑）。</t>
        </is>
      </c>
    </row>
    <row r="20" ht="45" customHeight="1">
      <c r="B20" s="3" t="inlineStr">
        <is>
          <t>燃尽实际线续填</t>
        </is>
      </c>
      <c r="C20" s="4" t="inlineStr">
        <is>
          <t>Sprint4 结束后，在『产品Backlog』表 S4 单元格填入 =R4-SUMIFS($K$7:$K$57,$H$7:$H$57,"Sprint4",$L$7:$L$57,"完成")，Sprint5 用 T4、Sprint6 用 U4，依此类推。</t>
        </is>
      </c>
    </row>
    <row r="21">
      <c r="B21" s="2" t="inlineStr"/>
    </row>
    <row r="22">
      <c r="B22" s="2" t="inlineStr">
        <is>
          <t>四、下一阶段主线（Sprint4–Sprint6 的来源）</t>
        </is>
      </c>
    </row>
    <row r="23" ht="15" customHeight="1">
      <c r="B23" s="3" t="inlineStr">
        <is>
          <t>阶段 2（Sprint4）</t>
        </is>
      </c>
      <c r="C23" s="4" t="inlineStr">
        <is>
          <t>证明结论质量而不是证明系统复杂：分层抽样、真实复核记录、双人一致率、最小质量看板、每个数字可回溯。</t>
        </is>
      </c>
    </row>
    <row r="24" ht="15" customHeight="1">
      <c r="B24" s="3" t="inlineStr">
        <is>
          <t>阶段 3（Sprint5）</t>
        </is>
      </c>
      <c r="C24" s="4" t="inlineStr">
        <is>
          <t>收紧个人研究闭环：关注与本机保存筛选、修订时间线与变化对比、只读提醒、一跳到精确原文段落。</t>
        </is>
      </c>
    </row>
    <row r="25" ht="30" customHeight="1">
      <c r="B25" s="3" t="inlineStr">
        <is>
          <t>阶段 4（Sprint6）</t>
        </is>
      </c>
      <c r="C25" s="4" t="inlineStr">
        <is>
          <t>运维诚实性与治理闭环：备份状态收据、状态分类表达、GOV-2026-08-19-01 闭环、历史完整性债务 A/B/C/D 分批处置、课程过程证据。</t>
        </is>
      </c>
    </row>
    <row r="26" ht="30" customHeight="1">
      <c r="B26" s="3" t="inlineStr">
        <is>
          <t>明确不做</t>
        </is>
      </c>
      <c r="C26" s="4" t="inlineStr">
        <is>
          <t>不接券商/交易所/订单接口，不读余额与仓位，不让模型自动晋级 VERIFIED，不因有云积分就扩实例，不把答辩页与原始 JSON 塞回公开 UI。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62" customWidth="1" min="5" max="5"/>
    <col width="74" customWidth="1" min="6" max="6"/>
    <col width="8" customWidth="1" min="7" max="7"/>
    <col width="10" customWidth="1" min="8" max="8"/>
    <col width="12" customWidth="1" min="9" max="9"/>
    <col width="9" customWidth="1" min="10" max="10"/>
    <col width="12" customWidth="1" min="11" max="11"/>
    <col width="10" customWidth="1" min="12" max="12"/>
    <col width="40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产品Backlog</t>
        </is>
      </c>
      <c r="C1" s="5" t="inlineStr">
        <is>
          <t>产品（项目）名称</t>
        </is>
      </c>
      <c r="D1" s="6" t="inlineStr">
        <is>
          <t>Finance Radar · 金融事件证据雷达</t>
        </is>
      </c>
      <c r="O1" s="2" t="inlineStr">
        <is>
          <t>产品燃尽图数据（剩余故事点）</t>
        </is>
      </c>
    </row>
    <row r="2">
      <c r="C2" s="5" t="inlineStr">
        <is>
          <t>产品负责人</t>
        </is>
      </c>
      <c r="D2" s="6" t="inlineStr">
        <is>
          <t>zhangzheng-debug（PO 兼 SM；QA 相对独立）</t>
        </is>
      </c>
      <c r="J2" s="7" t="inlineStr">
        <is>
          <t>总的工作量</t>
        </is>
      </c>
      <c r="K2" s="8">
        <f>SUM(K7:K57)</f>
        <v/>
      </c>
      <c r="O2" s="9" t="inlineStr">
        <is>
          <t>开始</t>
        </is>
      </c>
      <c r="P2" s="9" t="inlineStr">
        <is>
          <t>Sprint1</t>
        </is>
      </c>
      <c r="Q2" s="9" t="inlineStr">
        <is>
          <t>Sprint2</t>
        </is>
      </c>
      <c r="R2" s="9" t="inlineStr">
        <is>
          <t>Sprint3</t>
        </is>
      </c>
      <c r="S2" s="9" t="inlineStr">
        <is>
          <t>Sprint4</t>
        </is>
      </c>
      <c r="T2" s="9" t="inlineStr">
        <is>
          <t>Sprint5</t>
        </is>
      </c>
      <c r="U2" s="9" t="inlineStr">
        <is>
          <t>Sprint6</t>
        </is>
      </c>
    </row>
    <row r="3">
      <c r="C3" s="5" t="inlineStr">
        <is>
          <t>更新日期</t>
        </is>
      </c>
      <c r="D3" s="6" t="inlineStr">
        <is>
          <t>2026-08-20</t>
        </is>
      </c>
      <c r="J3" s="7" t="inlineStr">
        <is>
          <t>已完成</t>
        </is>
      </c>
      <c r="K3" s="8">
        <f>SUMIF($L$7:$L$57,"完成",$K$7:$K$57)</f>
        <v/>
      </c>
      <c r="N3" s="5" t="inlineStr">
        <is>
          <t>计划剩余</t>
        </is>
      </c>
      <c r="O3" s="10">
        <f>$K$2</f>
        <v/>
      </c>
      <c r="P3" s="10">
        <f>ROUND($K$2*5/6,0)</f>
        <v/>
      </c>
      <c r="Q3" s="10">
        <f>ROUND($K$2*4/6,0)</f>
        <v/>
      </c>
      <c r="R3" s="10">
        <f>ROUND($K$2*3/6,0)</f>
        <v/>
      </c>
      <c r="S3" s="10">
        <f>ROUND($K$2*2/6,0)</f>
        <v/>
      </c>
      <c r="T3" s="10">
        <f>ROUND($K$2*1/6,0)</f>
        <v/>
      </c>
      <c r="U3" s="10" t="n">
        <v>0</v>
      </c>
    </row>
    <row r="4">
      <c r="C4" s="5" t="inlineStr">
        <is>
          <t>当前 Sprint</t>
        </is>
      </c>
      <c r="D4" s="6" t="inlineStr">
        <is>
          <t>Sprint4 · 结论质量证据（2026-08-20 ~ 2026-09-02）</t>
        </is>
      </c>
      <c r="J4" s="7" t="inlineStr">
        <is>
          <t>剩余</t>
        </is>
      </c>
      <c r="K4" s="8">
        <f>K2-K3</f>
        <v/>
      </c>
      <c r="N4" s="5" t="inlineStr">
        <is>
          <t>实际剩余</t>
        </is>
      </c>
      <c r="O4" s="10">
        <f>$K$2</f>
        <v/>
      </c>
      <c r="P4" s="10">
        <f>O4-SUMIFS($K$7:$K$57,$H$7:$H$57,"Sprint1",$L$7:$L$57,"完成")</f>
        <v/>
      </c>
      <c r="Q4" s="10">
        <f>P4-SUMIFS($K$7:$K$57,$H$7:$H$57,"Sprint2",$L$7:$L$57,"完成")</f>
        <v/>
      </c>
      <c r="R4" s="10">
        <f>Q4-SUMIFS($K$7:$K$57,$H$7:$H$57,"Sprint3",$L$7:$L$57,"完成")</f>
        <v/>
      </c>
      <c r="S4" s="11" t="n"/>
      <c r="T4" s="11" t="n"/>
      <c r="U4" s="11" t="n"/>
    </row>
    <row r="5">
      <c r="O5" s="12" t="inlineStr">
        <is>
          <t>Sprint4 起于 2026-08-20，实际线在 Sprint3 之后留空（黄底），完成后按『说明』页补公式。</t>
        </is>
      </c>
    </row>
    <row r="6" ht="46" customHeight="1">
      <c r="A6" s="9" t="inlineStr">
        <is>
          <t>PBI_ID</t>
        </is>
      </c>
      <c r="B6" s="9" t="inlineStr">
        <is>
          <t>优先级</t>
        </is>
      </c>
      <c r="C6" s="9" t="inlineStr">
        <is>
          <t>Backlog类型</t>
        </is>
      </c>
      <c r="D6" s="9" t="inlineStr">
        <is>
          <t>功能性/
非功能性</t>
        </is>
      </c>
      <c r="E6" s="9" t="inlineStr">
        <is>
          <t>用户故事（产品Backlog条目描述）</t>
        </is>
      </c>
      <c r="F6" s="9" t="inlineStr">
        <is>
          <t>验收条件（满意条件）</t>
        </is>
      </c>
      <c r="G6" s="9" t="inlineStr">
        <is>
          <t>复杂度</t>
        </is>
      </c>
      <c r="H6" s="9" t="inlineStr">
        <is>
          <t>Sprint</t>
        </is>
      </c>
      <c r="I6" s="9" t="inlineStr">
        <is>
          <t>初始工作量估计
(用户故事点)</t>
        </is>
      </c>
      <c r="J6" s="9" t="inlineStr">
        <is>
          <t>调整系数</t>
        </is>
      </c>
      <c r="K6" s="9" t="inlineStr">
        <is>
          <t>调整后
工作量估计
(用户故事点)</t>
        </is>
      </c>
      <c r="L6" s="9" t="inlineStr">
        <is>
          <t>状态</t>
        </is>
      </c>
      <c r="M6" s="9" t="inlineStr">
        <is>
          <t>依据 / 可核验来源</t>
        </is>
      </c>
    </row>
    <row r="7" ht="60" customHeight="1">
      <c r="A7" s="10" t="inlineStr">
        <is>
          <t>PBI_01</t>
        </is>
      </c>
      <c r="B7" s="10" t="n">
        <v>100</v>
      </c>
      <c r="C7" s="10" t="inlineStr">
        <is>
          <t>新需求</t>
        </is>
      </c>
      <c r="D7" s="10" t="inlineStr">
        <is>
          <t>功能性</t>
        </is>
      </c>
      <c r="E7" s="13" t="inlineStr">
        <is>
          <t>作为研究者，我希望系统按 P0/P1/P2 分层持续采集多类公开来源并自动去重，以便我不必自己盯着监管站点和新闻聚合页</t>
        </is>
      </c>
      <c r="F7" s="13" t="inlineStr">
        <is>
          <t>1 注册来源可按 P0/P1/P2 分层采集并落库；2 同一事件被转载时归并到同一 canonical_key，不产生重复事件；3 来源优先级与事件极性使用不同字段，不共用颜色语义</t>
        </is>
      </c>
      <c r="G7" s="10" t="inlineStr">
        <is>
          <t>高</t>
        </is>
      </c>
      <c r="H7" s="10" t="inlineStr">
        <is>
          <t>Sprint1</t>
        </is>
      </c>
      <c r="I7" s="14" t="n">
        <v>20</v>
      </c>
      <c r="J7" s="15" t="n">
        <v>1</v>
      </c>
      <c r="K7" s="10">
        <f>ROUND(I7*J7,0)</f>
        <v/>
      </c>
      <c r="L7" s="14" t="inlineStr">
        <is>
          <t>完成</t>
        </is>
      </c>
      <c r="M7" s="13" t="inlineStr">
        <is>
          <t>app/workers/continuous.py；plan v6.0 §6</t>
        </is>
      </c>
    </row>
    <row r="8" ht="60" customHeight="1">
      <c r="A8" s="16" t="inlineStr">
        <is>
          <t>PBI_02</t>
        </is>
      </c>
      <c r="B8" s="16" t="n">
        <v>200</v>
      </c>
      <c r="C8" s="16" t="inlineStr">
        <is>
          <t>新需求</t>
        </is>
      </c>
      <c r="D8" s="16" t="inlineStr">
        <is>
          <t>功能性</t>
        </is>
      </c>
      <c r="E8" s="17" t="inlineStr">
        <is>
          <t>作为研究者，我希望事件的每次修订都留下新版本和修订关系，以便我能看到结论是怎么变化的而不是被静默覆盖</t>
        </is>
      </c>
      <c r="F8" s="17" t="inlineStr">
        <is>
          <t>1 账本为追加式，历史记录不可静默覆盖；2 修订产生新版本或显式 revision 边；3 事件状态限定 candidate/verified/rejected/superseded</t>
        </is>
      </c>
      <c r="G8" s="16" t="inlineStr">
        <is>
          <t>中</t>
        </is>
      </c>
      <c r="H8" s="16" t="inlineStr">
        <is>
          <t>Sprint1</t>
        </is>
      </c>
      <c r="I8" s="14" t="n">
        <v>13</v>
      </c>
      <c r="J8" s="15" t="n">
        <v>1</v>
      </c>
      <c r="K8" s="16">
        <f>ROUND(I8*J8,0)</f>
        <v/>
      </c>
      <c r="L8" s="14" t="inlineStr">
        <is>
          <t>完成</t>
        </is>
      </c>
      <c r="M8" s="17" t="inlineStr">
        <is>
          <t>app/storage/ledger.py；plan v6.0 §8.3</t>
        </is>
      </c>
    </row>
    <row r="9" ht="60" customHeight="1">
      <c r="A9" s="10" t="inlineStr">
        <is>
          <t>PBI_03</t>
        </is>
      </c>
      <c r="B9" s="10" t="n">
        <v>300</v>
      </c>
      <c r="C9" s="10" t="inlineStr">
        <is>
          <t>新需求</t>
        </is>
      </c>
      <c r="D9" s="10" t="inlineStr">
        <is>
          <t>功能性</t>
        </is>
      </c>
      <c r="E9" s="13" t="inlineStr">
        <is>
          <t>作为研究者，我希望每条结论都能回到带哈希的原文快照，以便我自己判断证据是否成立</t>
        </is>
      </c>
      <c r="F9" s="13" t="inlineStr">
        <is>
          <t>1 证据对象以内容哈希寻址，禁止原地覆盖；2 保存 fetched_at、published_at、MIME 与归档路径；3 抽样完整性校验失败数为 0</t>
        </is>
      </c>
      <c r="G9" s="10" t="inlineStr">
        <is>
          <t>中</t>
        </is>
      </c>
      <c r="H9" s="10" t="inlineStr">
        <is>
          <t>Sprint1</t>
        </is>
      </c>
      <c r="I9" s="14" t="n">
        <v>13</v>
      </c>
      <c r="J9" s="15" t="n">
        <v>1</v>
      </c>
      <c r="K9" s="10">
        <f>ROUND(I9*J9,0)</f>
        <v/>
      </c>
      <c r="L9" s="14" t="inlineStr">
        <is>
          <t>完成</t>
        </is>
      </c>
      <c r="M9" s="13" t="inlineStr">
        <is>
          <t>app/storage/content_store.py</t>
        </is>
      </c>
    </row>
    <row r="10" ht="60" customHeight="1">
      <c r="A10" s="16" t="inlineStr">
        <is>
          <t>PBI_04</t>
        </is>
      </c>
      <c r="B10" s="16" t="n">
        <v>400</v>
      </c>
      <c r="C10" s="16" t="inlineStr">
        <is>
          <t>新需求</t>
        </is>
      </c>
      <c r="D10" s="16" t="inlineStr">
        <is>
          <t>功能性</t>
        </is>
      </c>
      <c r="E10" s="17" t="inlineStr">
        <is>
          <t>作为研究者，我希望证据不足、冲突或来源等级不够时系统直接拦截，以便弱证据不会被包装成确定结论</t>
        </is>
      </c>
      <c r="F10" s="17" t="inlineStr">
        <is>
          <t>1 verified 事件至少关联一条符合策略的证据边；2 冲突证据进入 CONFLICT_REVIEW/ABSTAIN；3 模型分数不能绕过硬门（反例测试通过）</t>
        </is>
      </c>
      <c r="G10" s="16" t="inlineStr">
        <is>
          <t>高</t>
        </is>
      </c>
      <c r="H10" s="16" t="inlineStr">
        <is>
          <t>Sprint1</t>
        </is>
      </c>
      <c r="I10" s="14" t="n">
        <v>20</v>
      </c>
      <c r="J10" s="15" t="n">
        <v>1</v>
      </c>
      <c r="K10" s="16">
        <f>ROUND(I10*J10,0)</f>
        <v/>
      </c>
      <c r="L10" s="14" t="inlineStr">
        <is>
          <t>完成</t>
        </is>
      </c>
      <c r="M10" s="17" t="inlineStr">
        <is>
          <t>app/models/evidence_policy.py；禁飞区 FZ2</t>
        </is>
      </c>
    </row>
    <row r="11" ht="60" customHeight="1">
      <c r="A11" s="10" t="inlineStr">
        <is>
          <t>PBI_05</t>
        </is>
      </c>
      <c r="B11" s="10" t="n">
        <v>500</v>
      </c>
      <c r="C11" s="10" t="inlineStr">
        <is>
          <t>新需求</t>
        </is>
      </c>
      <c r="D11" s="10" t="inlineStr">
        <is>
          <t>功能性</t>
        </is>
      </c>
      <c r="E11" s="13" t="inlineStr">
        <is>
          <t>作为研究者，我希望看到事件前后的行情窗口，以便判断消息是否已经被市场消化</t>
        </is>
      </c>
      <c r="F11" s="13" t="inlineStr">
        <is>
          <t>1 提供 T+5m / T+30m / T+1d 三个窗口状态；2 错过窗口记 MISSED_WINDOW 且不用最新价补写；3 行情失败显式可见，不伪造价格</t>
        </is>
      </c>
      <c r="G11" s="10" t="inlineStr">
        <is>
          <t>中</t>
        </is>
      </c>
      <c r="H11" s="10" t="inlineStr">
        <is>
          <t>Sprint1</t>
        </is>
      </c>
      <c r="I11" s="14" t="n">
        <v>8</v>
      </c>
      <c r="J11" s="15" t="n">
        <v>1</v>
      </c>
      <c r="K11" s="10">
        <f>ROUND(I11*J11,0)</f>
        <v/>
      </c>
      <c r="L11" s="14" t="inlineStr">
        <is>
          <t>完成</t>
        </is>
      </c>
      <c r="M11" s="13" t="inlineStr">
        <is>
          <t>ACCEPTANCE_STATUS.md 分类行情层</t>
        </is>
      </c>
    </row>
    <row r="12" ht="60" customHeight="1">
      <c r="A12" s="16" t="inlineStr">
        <is>
          <t>PBI_06</t>
        </is>
      </c>
      <c r="B12" s="16" t="n">
        <v>600</v>
      </c>
      <c r="C12" s="16" t="inlineStr">
        <is>
          <t>新需求</t>
        </is>
      </c>
      <c r="D12" s="16" t="inlineStr">
        <is>
          <t>功能性</t>
        </is>
      </c>
      <c r="E12" s="17" t="inlineStr">
        <is>
          <t>作为前端与外部复核者，我希望有稳定的只读 API 契约，以便页面和审计脚本读到同一份事实</t>
        </is>
      </c>
      <c r="F12" s="17" t="inlineStr">
        <is>
          <t>1 事件/证据/时间线/运行/回放路径可用；2 所有响应带 schema 版本、trace id 与生成时间；3 无任何交易写路由</t>
        </is>
      </c>
      <c r="G12" s="16" t="inlineStr">
        <is>
          <t>中</t>
        </is>
      </c>
      <c r="H12" s="16" t="inlineStr">
        <is>
          <t>Sprint1</t>
        </is>
      </c>
      <c r="I12" s="14" t="n">
        <v>13</v>
      </c>
      <c r="J12" s="15" t="n">
        <v>1</v>
      </c>
      <c r="K12" s="16">
        <f>ROUND(I12*J12,0)</f>
        <v/>
      </c>
      <c r="L12" s="14" t="inlineStr">
        <is>
          <t>完成</t>
        </is>
      </c>
      <c r="M12" s="17" t="inlineStr">
        <is>
          <t>.agent/api_contracts.md；app/api/main.py</t>
        </is>
      </c>
    </row>
    <row r="13" ht="60" customHeight="1">
      <c r="A13" s="10" t="inlineStr">
        <is>
          <t>PBI_07</t>
        </is>
      </c>
      <c r="B13" s="10" t="n">
        <v>700</v>
      </c>
      <c r="C13" s="10" t="inlineStr">
        <is>
          <t>新需求</t>
        </is>
      </c>
      <c r="D13" s="10" t="inlineStr">
        <is>
          <t>功能性</t>
        </is>
      </c>
      <c r="E13" s="13" t="inlineStr">
        <is>
          <t>作为研究者，我希望有一套中文证据终端，以便在一个地方完成总览、核验、回放、运维和裁决</t>
        </is>
      </c>
      <c r="F13" s="13" t="inlineStr">
        <is>
          <t>1 Situation Room / Event Workbench / Replay Lab / Ops &amp; Model / Adjudication 五页可用；2 深色终端、桌面优先、窄屏无横向溢出；3 状态同时用颜色和形状表达</t>
        </is>
      </c>
      <c r="G13" s="10" t="inlineStr">
        <is>
          <t>高</t>
        </is>
      </c>
      <c r="H13" s="10" t="inlineStr">
        <is>
          <t>Sprint1</t>
        </is>
      </c>
      <c r="I13" s="14" t="n">
        <v>20</v>
      </c>
      <c r="J13" s="15" t="n">
        <v>1</v>
      </c>
      <c r="K13" s="10">
        <f>ROUND(I13*J13,0)</f>
        <v/>
      </c>
      <c r="L13" s="14" t="inlineStr">
        <is>
          <t>完成</t>
        </is>
      </c>
      <c r="M13" s="13" t="inlineStr">
        <is>
          <t>app/web/；plan v6.0 §9</t>
        </is>
      </c>
    </row>
    <row r="14" ht="60" customHeight="1">
      <c r="A14" s="16" t="inlineStr">
        <is>
          <t>PBI_08</t>
        </is>
      </c>
      <c r="B14" s="16" t="n">
        <v>800</v>
      </c>
      <c r="C14" s="16" t="inlineStr">
        <is>
          <t>新需求</t>
        </is>
      </c>
      <c r="D14" s="16" t="inlineStr">
        <is>
          <t>功能性</t>
        </is>
      </c>
      <c r="E14" s="17" t="inlineStr">
        <is>
          <t>作为答辩人和复核者，我希望能按模拟时钟回放历史事件，以便在没有实时事件时也能证明系统行为</t>
        </is>
      </c>
      <c r="F14" s="17" t="inlineStr">
        <is>
          <t>1 回放只看到模拟时点之前的证据；2 固定输入重复运行结果一致；3 无未来信息泄漏（边界测试通过）</t>
        </is>
      </c>
      <c r="G14" s="16" t="inlineStr">
        <is>
          <t>中</t>
        </is>
      </c>
      <c r="H14" s="16" t="inlineStr">
        <is>
          <t>Sprint1</t>
        </is>
      </c>
      <c r="I14" s="14" t="n">
        <v>13</v>
      </c>
      <c r="J14" s="15" t="n">
        <v>1</v>
      </c>
      <c r="K14" s="16">
        <f>ROUND(I14*J14,0)</f>
        <v/>
      </c>
      <c r="L14" s="14" t="inlineStr">
        <is>
          <t>完成</t>
        </is>
      </c>
      <c r="M14" s="17" t="inlineStr">
        <is>
          <t>app/services/replay.py；禁飞区 FZ3</t>
        </is>
      </c>
    </row>
    <row r="15" ht="60" customHeight="1">
      <c r="A15" s="10" t="inlineStr">
        <is>
          <t>PBI_09</t>
        </is>
      </c>
      <c r="B15" s="10" t="n">
        <v>900</v>
      </c>
      <c r="C15" s="10" t="inlineStr">
        <is>
          <t>新需求</t>
        </is>
      </c>
      <c r="D15" s="10" t="inlineStr">
        <is>
          <t>非功能性</t>
        </is>
      </c>
      <c r="E15" s="13" t="inlineStr">
        <is>
          <t>作为运维者，我希望采集 Worker 常驻并能自愈，以便单个来源出问题时不影响整条链路</t>
        </is>
      </c>
      <c r="F15" s="13" t="inlineStr">
        <is>
          <t>1 每 5 分钟一个周期，失败 20 秒后重启；2 单来源超时/403 只降低该轮子状态，不阻断后续周期；3 NRestarts=0 可现场核验</t>
        </is>
      </c>
      <c r="G15" s="10" t="inlineStr">
        <is>
          <t>中</t>
        </is>
      </c>
      <c r="H15" s="10" t="inlineStr">
        <is>
          <t>Sprint1</t>
        </is>
      </c>
      <c r="I15" s="14" t="n">
        <v>8</v>
      </c>
      <c r="J15" s="15" t="n">
        <v>1</v>
      </c>
      <c r="K15" s="10">
        <f>ROUND(I15*J15,0)</f>
        <v/>
      </c>
      <c r="L15" s="14" t="inlineStr">
        <is>
          <t>完成</t>
        </is>
      </c>
      <c r="M15" s="13" t="inlineStr">
        <is>
          <t>app/workers/continuous.py</t>
        </is>
      </c>
    </row>
    <row r="16" ht="60" customHeight="1">
      <c r="A16" s="16" t="inlineStr">
        <is>
          <t>PBI_10</t>
        </is>
      </c>
      <c r="B16" s="16" t="n">
        <v>1000</v>
      </c>
      <c r="C16" s="16" t="inlineStr">
        <is>
          <t>新需求</t>
        </is>
      </c>
      <c r="D16" s="16" t="inlineStr">
        <is>
          <t>功能性</t>
        </is>
      </c>
      <c r="E16" s="17" t="inlineStr">
        <is>
          <t>作为研究者，我希望符合条件的事件通过 Telegram 提醒我并深链回工作台，以便我不必一直盯着页面</t>
        </is>
      </c>
      <c r="F16" s="17" t="inlineStr">
        <is>
          <t>1 outbox 幂等且带租约；2 默认不发送，发送需显式 --send；3 提醒只带深链，不复制成第二套事实存储</t>
        </is>
      </c>
      <c r="G16" s="16" t="inlineStr">
        <is>
          <t>低</t>
        </is>
      </c>
      <c r="H16" s="16" t="inlineStr">
        <is>
          <t>Sprint1</t>
        </is>
      </c>
      <c r="I16" s="14" t="n">
        <v>5</v>
      </c>
      <c r="J16" s="15" t="n">
        <v>1</v>
      </c>
      <c r="K16" s="16">
        <f>ROUND(I16*J16,0)</f>
        <v/>
      </c>
      <c r="L16" s="14" t="inlineStr">
        <is>
          <t>完成</t>
        </is>
      </c>
      <c r="M16" s="17" t="inlineStr">
        <is>
          <t>app/workers/notifier.py</t>
        </is>
      </c>
    </row>
    <row r="17" ht="60" customHeight="1">
      <c r="A17" s="10" t="inlineStr">
        <is>
          <t>PBI_11</t>
        </is>
      </c>
      <c r="B17" s="10" t="n">
        <v>1100</v>
      </c>
      <c r="C17" s="10" t="inlineStr">
        <is>
          <t>新需求</t>
        </is>
      </c>
      <c r="D17" s="10" t="inlineStr">
        <is>
          <t>非功能性</t>
        </is>
      </c>
      <c r="E17" s="13" t="inlineStr">
        <is>
          <t>作为所有者，我希望备份可以被真实恢复而不是只存在，以便系统出事时数据真的拿得回来</t>
        </is>
      </c>
      <c r="F17" s="13" t="inlineStr">
        <is>
          <t>1 在线备份 + 异机 AES-256-GCM 加密恢复包；2 隔离全量恢复演练逐文件哈希、清单与双 SQLite 完整性全部通过；3 恢复失败即判失败，不降低门禁</t>
        </is>
      </c>
      <c r="G17" s="10" t="inlineStr">
        <is>
          <t>高</t>
        </is>
      </c>
      <c r="H17" s="10" t="inlineStr">
        <is>
          <t>Sprint1</t>
        </is>
      </c>
      <c r="I17" s="14" t="n">
        <v>20</v>
      </c>
      <c r="J17" s="15" t="n">
        <v>1</v>
      </c>
      <c r="K17" s="10">
        <f>ROUND(I17*J17,0)</f>
        <v/>
      </c>
      <c r="L17" s="14" t="inlineStr">
        <is>
          <t>完成</t>
        </is>
      </c>
      <c r="M17" s="13" t="inlineStr">
        <is>
          <t>app/ops/backup.py；scripts/audit_migration_restore.py</t>
        </is>
      </c>
    </row>
    <row r="18" ht="60" customHeight="1">
      <c r="A18" s="16" t="inlineStr">
        <is>
          <t>PBI_12</t>
        </is>
      </c>
      <c r="B18" s="16" t="n">
        <v>1200</v>
      </c>
      <c r="C18" s="16" t="inlineStr">
        <is>
          <t>新需求</t>
        </is>
      </c>
      <c r="D18" s="16" t="inlineStr">
        <is>
          <t>功能性</t>
        </is>
      </c>
      <c r="E18" s="17" t="inlineStr">
        <is>
          <t>作为所有者，我希望风险模型只能做建议且受晋级门约束，以便模型不会把猜测变成事实</t>
        </is>
      </c>
      <c r="F18" s="17" t="inlineStr">
        <is>
          <t>1 模型部署态为 SHADOW，promotion_allowed=false；2 模型输出只写 advisory 字段；3 盲测不达标必须公开显示 FAIL，不得反复调参后仍称盲测</t>
        </is>
      </c>
      <c r="G18" s="16" t="inlineStr">
        <is>
          <t>中</t>
        </is>
      </c>
      <c r="H18" s="16" t="inlineStr">
        <is>
          <t>Sprint1</t>
        </is>
      </c>
      <c r="I18" s="14" t="n">
        <v>13</v>
      </c>
      <c r="J18" s="15" t="n">
        <v>1</v>
      </c>
      <c r="K18" s="16">
        <f>ROUND(I18*J18,0)</f>
        <v/>
      </c>
      <c r="L18" s="14" t="inlineStr">
        <is>
          <t>完成</t>
        </is>
      </c>
      <c r="M18" s="17" t="inlineStr">
        <is>
          <t>app/models/risk_router.py；plan v6.0 §10.3</t>
        </is>
      </c>
    </row>
    <row r="19" ht="60" customHeight="1">
      <c r="A19" s="10" t="inlineStr">
        <is>
          <t>PBI_13</t>
        </is>
      </c>
      <c r="B19" s="10" t="n">
        <v>1300</v>
      </c>
      <c r="C19" s="10" t="inlineStr">
        <is>
          <t>新需求</t>
        </is>
      </c>
      <c r="D19" s="10" t="inlineStr">
        <is>
          <t>非功能性</t>
        </is>
      </c>
      <c r="E19" s="13" t="inlineStr">
        <is>
          <t>作为所有者，我希望产品统一部署在一台 AWS 主机并提供公网 HTTPS 终端，以便对外可访问且成本可控</t>
        </is>
      </c>
      <c r="F19" s="13" t="inlineStr">
        <is>
          <t>1 us-east-1 单实例承载 Nginx/API/Public Web/Worker/备份计时器；2 公网 /radar/ 与健康检查返回 200；3 证书自动续期</t>
        </is>
      </c>
      <c r="G19" s="10" t="inlineStr">
        <is>
          <t>高</t>
        </is>
      </c>
      <c r="H19" s="10" t="inlineStr">
        <is>
          <t>Sprint2</t>
        </is>
      </c>
      <c r="I19" s="14" t="n">
        <v>20</v>
      </c>
      <c r="J19" s="15" t="n">
        <v>1</v>
      </c>
      <c r="K19" s="10">
        <f>ROUND(I19*J19,0)</f>
        <v/>
      </c>
      <c r="L19" s="14" t="inlineStr">
        <is>
          <t>完成</t>
        </is>
      </c>
      <c r="M19" s="13" t="inlineStr">
        <is>
          <t>deployment/；CURRENT_STATE.md</t>
        </is>
      </c>
    </row>
    <row r="20" ht="60" customHeight="1">
      <c r="A20" s="16" t="inlineStr">
        <is>
          <t>PBI_14</t>
        </is>
      </c>
      <c r="B20" s="16" t="n">
        <v>1400</v>
      </c>
      <c r="C20" s="16" t="inlineStr">
        <is>
          <t>新需求</t>
        </is>
      </c>
      <c r="D20" s="16" t="inlineStr">
        <is>
          <t>非功能性</t>
        </is>
      </c>
      <c r="E20" s="17" t="inlineStr">
        <is>
          <t>作为运维者，我希望发布是事务式的，以便切换失败时能自动回滚并保留诊断现场</t>
        </is>
      </c>
      <c r="F20" s="17" t="inlineStr">
        <is>
          <t>1 切换前完成预检并生成通过恢复门的恢复点；2 记录旧 symlink、操作者与 UTC 窗口；3 失败自动回滚且失败 release 目录保留不删</t>
        </is>
      </c>
      <c r="G20" s="16" t="inlineStr">
        <is>
          <t>高</t>
        </is>
      </c>
      <c r="H20" s="16" t="inlineStr">
        <is>
          <t>Sprint2</t>
        </is>
      </c>
      <c r="I20" s="14" t="n">
        <v>20</v>
      </c>
      <c r="J20" s="15" t="n">
        <v>1</v>
      </c>
      <c r="K20" s="16">
        <f>ROUND(I20*J20,0)</f>
        <v/>
      </c>
      <c r="L20" s="14" t="inlineStr">
        <is>
          <t>完成</t>
        </is>
      </c>
      <c r="M20" s="17" t="inlineStr">
        <is>
          <t>docs/OWNER_INTENT_AND_SYSTEM_DOCTRINE.md FR-REL-005</t>
        </is>
      </c>
    </row>
    <row r="21" ht="60" customHeight="1">
      <c r="A21" s="10" t="inlineStr">
        <is>
          <t>PBI_15</t>
        </is>
      </c>
      <c r="B21" s="10" t="n">
        <v>1500</v>
      </c>
      <c r="C21" s="10" t="inlineStr">
        <is>
          <t>新需求</t>
        </is>
      </c>
      <c r="D21" s="10" t="inlineStr">
        <is>
          <t>非功能性</t>
        </is>
      </c>
      <c r="E21" s="13" t="inlineStr">
        <is>
          <t>作为所有者，我希望内部角色界面不出现在公网，以便公开面只有只读产品</t>
        </is>
      </c>
      <c r="F21" s="13" t="inlineStr">
        <is>
          <t>1 公网 Admin/Reviewer/Operator/FastAPI 路径均返回 404；2 公开输出不含令牌、密钥或恢复口令；3 deny-list 由部署验收现场核验</t>
        </is>
      </c>
      <c r="G21" s="10" t="inlineStr">
        <is>
          <t>中</t>
        </is>
      </c>
      <c r="H21" s="10" t="inlineStr">
        <is>
          <t>Sprint2</t>
        </is>
      </c>
      <c r="I21" s="14" t="n">
        <v>13</v>
      </c>
      <c r="J21" s="15" t="n">
        <v>1</v>
      </c>
      <c r="K21" s="10">
        <f>ROUND(I21*J21,0)</f>
        <v/>
      </c>
      <c r="L21" s="14" t="inlineStr">
        <is>
          <t>完成</t>
        </is>
      </c>
      <c r="M21" s="13" t="inlineStr">
        <is>
          <t>tests/test_deployment_edge_security.py</t>
        </is>
      </c>
    </row>
    <row r="22" ht="60" customHeight="1">
      <c r="A22" s="16" t="inlineStr">
        <is>
          <t>PBI_16</t>
        </is>
      </c>
      <c r="B22" s="16" t="n">
        <v>1600</v>
      </c>
      <c r="C22" s="16" t="inlineStr">
        <is>
          <t>新需求</t>
        </is>
      </c>
      <c r="D22" s="16" t="inlineStr">
        <is>
          <t>非功能性</t>
        </is>
      </c>
      <c r="E22" s="17" t="inlineStr">
        <is>
          <t>作为复核者，我希望发布产物绑定关键文件与归档哈希，以便任何人都能验证线上跑的就是仓库那份代码</t>
        </is>
      </c>
      <c r="F22" s="17" t="inlineStr">
        <is>
          <t>1 release 绑定 release ID、commit、源清单与关键文件哈希；2 归档 SHA-256 与 sidecar 一致；3 不能手改生成归档</t>
        </is>
      </c>
      <c r="G22" s="16" t="inlineStr">
        <is>
          <t>中</t>
        </is>
      </c>
      <c r="H22" s="16" t="inlineStr">
        <is>
          <t>Sprint2</t>
        </is>
      </c>
      <c r="I22" s="14" t="n">
        <v>8</v>
      </c>
      <c r="J22" s="15" t="n">
        <v>1</v>
      </c>
      <c r="K22" s="16">
        <f>ROUND(I22*J22,0)</f>
        <v/>
      </c>
      <c r="L22" s="14" t="inlineStr">
        <is>
          <t>完成</t>
        </is>
      </c>
      <c r="M22" s="17" t="inlineStr">
        <is>
          <t>FR-REL-004；CHANGELOG.md</t>
        </is>
      </c>
    </row>
    <row r="23" ht="60" customHeight="1">
      <c r="A23" s="10" t="inlineStr">
        <is>
          <t>PBI_17</t>
        </is>
      </c>
      <c r="B23" s="10" t="n">
        <v>1700</v>
      </c>
      <c r="C23" s="10" t="inlineStr">
        <is>
          <t>新需求</t>
        </is>
      </c>
      <c r="D23" s="10" t="inlineStr">
        <is>
          <t>非功能性</t>
        </is>
      </c>
      <c r="E23" s="13" t="inlineStr">
        <is>
          <t>作为复核者，我希望依赖锁在发布归档之间被校验，以便运行环境不会悄悄漂移</t>
        </is>
      </c>
      <c r="F23" s="13" t="inlineStr">
        <is>
          <t>1 requirements.lock / requirements-dev.lock 与 dependency-lock.json 摘要一致；2 CI 门禁失败即阻断；3 换行差异不影响判定</t>
        </is>
      </c>
      <c r="G23" s="10" t="inlineStr">
        <is>
          <t>低</t>
        </is>
      </c>
      <c r="H23" s="10" t="inlineStr">
        <is>
          <t>Sprint2</t>
        </is>
      </c>
      <c r="I23" s="14" t="n">
        <v>5</v>
      </c>
      <c r="J23" s="15" t="n">
        <v>1</v>
      </c>
      <c r="K23" s="10">
        <f>ROUND(I23*J23,0)</f>
        <v/>
      </c>
      <c r="L23" s="14" t="inlineStr">
        <is>
          <t>完成</t>
        </is>
      </c>
      <c r="M23" s="13" t="inlineStr">
        <is>
          <t>scripts/verify_dependency_locks.py（PR #5）</t>
        </is>
      </c>
    </row>
    <row r="24" ht="60" customHeight="1">
      <c r="A24" s="16" t="inlineStr">
        <is>
          <t>PBI_18</t>
        </is>
      </c>
      <c r="B24" s="16" t="n">
        <v>1800</v>
      </c>
      <c r="C24" s="16" t="inlineStr">
        <is>
          <t>新需求</t>
        </is>
      </c>
      <c r="D24" s="16" t="inlineStr">
        <is>
          <t>非功能性</t>
        </is>
      </c>
      <c r="E24" s="17" t="inlineStr">
        <is>
          <t>作为运维者，我希望单盘主机上的备份只保留一份且不撑爆磁盘，以便备份本身不会造成事故</t>
        </is>
      </c>
      <c r="F24" s="17" t="inlineStr">
        <is>
          <t>1 --retention 1 --weekly-retention 0；2 新恢复点独立验证成功后旧恢复点才移出保留链；3 部署期峰值后容量回落并现场记录</t>
        </is>
      </c>
      <c r="G24" s="16" t="inlineStr">
        <is>
          <t>中</t>
        </is>
      </c>
      <c r="H24" s="16" t="inlineStr">
        <is>
          <t>Sprint2</t>
        </is>
      </c>
      <c r="I24" s="14" t="n">
        <v>8</v>
      </c>
      <c r="J24" s="15" t="n">
        <v>1</v>
      </c>
      <c r="K24" s="16">
        <f>ROUND(I24*J24,0)</f>
        <v/>
      </c>
      <c r="L24" s="14" t="inlineStr">
        <is>
          <t>完成</t>
        </is>
      </c>
      <c r="M24" s="17" t="inlineStr">
        <is>
          <t>BACKUP_INVENTORY.md；CURRENT_STATE.md</t>
        </is>
      </c>
    </row>
    <row r="25" ht="60" customHeight="1">
      <c r="A25" s="10" t="inlineStr">
        <is>
          <t>PBI_19</t>
        </is>
      </c>
      <c r="B25" s="10" t="n">
        <v>1900</v>
      </c>
      <c r="C25" s="10" t="inlineStr">
        <is>
          <t>缺陷</t>
        </is>
      </c>
      <c r="D25" s="10" t="inlineStr">
        <is>
          <t>功能性</t>
        </is>
      </c>
      <c r="E25" s="13" t="inlineStr">
        <is>
          <t>作为维护者，我需要修复公开 Web 越界导入内部模块的问题，以便公开面不会意外拉入内部依赖</t>
        </is>
      </c>
      <c r="F25" s="13" t="inlineStr">
        <is>
          <t>1 公开 Web 只依赖被允许的导入边界；2 边界回归测试通过；3 公网行为不变</t>
        </is>
      </c>
      <c r="G25" s="10" t="inlineStr">
        <is>
          <t>低</t>
        </is>
      </c>
      <c r="H25" s="10" t="inlineStr">
        <is>
          <t>Sprint2</t>
        </is>
      </c>
      <c r="I25" s="14" t="n">
        <v>3</v>
      </c>
      <c r="J25" s="15" t="n">
        <v>1</v>
      </c>
      <c r="K25" s="10">
        <f>ROUND(I25*J25,0)</f>
        <v/>
      </c>
      <c r="L25" s="14" t="inlineStr">
        <is>
          <t>完成</t>
        </is>
      </c>
      <c r="M25" s="13" t="inlineStr">
        <is>
          <t>提交 a219222（PR #6）</t>
        </is>
      </c>
    </row>
    <row r="26" ht="60" customHeight="1">
      <c r="A26" s="16" t="inlineStr">
        <is>
          <t>PBI_20</t>
        </is>
      </c>
      <c r="B26" s="16" t="n">
        <v>2000</v>
      </c>
      <c r="C26" s="16" t="inlineStr">
        <is>
          <t>新需求</t>
        </is>
      </c>
      <c r="D26" s="16" t="inlineStr">
        <is>
          <t>非功能性</t>
        </is>
      </c>
      <c r="E26" s="17" t="inlineStr">
        <is>
          <t>作为第一次访问的研究者，我希望页面先出现可操作外壳再补数据，以便我不会对着空白页等待</t>
        </is>
      </c>
      <c r="F26" s="17" t="inlineStr">
        <is>
          <t>1 冷启动 3 秒内出现可操作框架和明确状态；2 10 秒内出现首屏事件流；3 首页不因备份全量扫描、KPI 聚合或单源超时整体空白</t>
        </is>
      </c>
      <c r="G26" s="16" t="inlineStr">
        <is>
          <t>中</t>
        </is>
      </c>
      <c r="H26" s="16" t="inlineStr">
        <is>
          <t>Sprint3</t>
        </is>
      </c>
      <c r="I26" s="14" t="n">
        <v>13</v>
      </c>
      <c r="J26" s="15" t="n">
        <v>1</v>
      </c>
      <c r="K26" s="16">
        <f>ROUND(I26*J26,0)</f>
        <v/>
      </c>
      <c r="L26" s="14" t="inlineStr">
        <is>
          <t>完成</t>
        </is>
      </c>
      <c r="M26" s="17" t="inlineStr">
        <is>
          <t>NEXT_PHASE_PLAN 阶段1；CHANGELOG 2026.08.18.3</t>
        </is>
      </c>
    </row>
    <row r="27" ht="60" customHeight="1">
      <c r="A27" s="10" t="inlineStr">
        <is>
          <t>PBI_21</t>
        </is>
      </c>
      <c r="B27" s="10" t="n">
        <v>2100</v>
      </c>
      <c r="C27" s="10" t="inlineStr">
        <is>
          <t>缺陷</t>
        </is>
      </c>
      <c r="D27" s="10" t="inlineStr">
        <is>
          <t>非功能性</t>
        </is>
      </c>
      <c r="E27" s="13" t="inlineStr">
        <is>
          <t>作为运维者，我需要修复部署探针使用数据库密集 /health 导致超时并自动回滚的问题，以便正常发布不会被自己的探针拖垮</t>
        </is>
      </c>
      <c r="F27" s="13" t="inlineStr">
        <is>
          <t>1 新增无数据库 /api/v1/live 活性探针；2 安装器只用有界活性检查做激活判定；3 完整 health 仍保留用于运维诊断</t>
        </is>
      </c>
      <c r="G27" s="10" t="inlineStr">
        <is>
          <t>低</t>
        </is>
      </c>
      <c r="H27" s="10" t="inlineStr">
        <is>
          <t>Sprint3</t>
        </is>
      </c>
      <c r="I27" s="14" t="n">
        <v>5</v>
      </c>
      <c r="J27" s="15" t="n">
        <v>1</v>
      </c>
      <c r="K27" s="10">
        <f>ROUND(I27*J27,0)</f>
        <v/>
      </c>
      <c r="L27" s="14" t="inlineStr">
        <is>
          <t>完成</t>
        </is>
      </c>
      <c r="M27" s="13" t="inlineStr">
        <is>
          <t>CHANGELOG 2026.08.18.2；候选 20260818T040331Z 回滚记录</t>
        </is>
      </c>
    </row>
    <row r="28" ht="60" customHeight="1">
      <c r="A28" s="16" t="inlineStr">
        <is>
          <t>PBI_22</t>
        </is>
      </c>
      <c r="B28" s="16" t="n">
        <v>2200</v>
      </c>
      <c r="C28" s="16" t="inlineStr">
        <is>
          <t>新需求</t>
        </is>
      </c>
      <c r="D28" s="16" t="inlineStr">
        <is>
          <t>功能性</t>
        </is>
      </c>
      <c r="E28" s="17" t="inlineStr">
        <is>
          <t>作为中文使用者，我希望加载、降级、缓存过期和超时都有能看懂的中文说明，以便我知道发生了什么、要不要相信当前数据</t>
        </is>
      </c>
      <c r="F28" s="17" t="inlineStr">
        <is>
          <t>1 明确说明是否使用旧数据及其年龄；2 不暴露异常栈；3 一级操作与下一步提示以中文为主，仅保留行业术语</t>
        </is>
      </c>
      <c r="G28" s="16" t="inlineStr">
        <is>
          <t>中</t>
        </is>
      </c>
      <c r="H28" s="16" t="inlineStr">
        <is>
          <t>Sprint3</t>
        </is>
      </c>
      <c r="I28" s="14" t="n">
        <v>8</v>
      </c>
      <c r="J28" s="15" t="n">
        <v>1</v>
      </c>
      <c r="K28" s="16">
        <f>ROUND(I28*J28,0)</f>
        <v/>
      </c>
      <c r="L28" s="14" t="inlineStr">
        <is>
          <t>完成</t>
        </is>
      </c>
      <c r="M28" s="17" t="inlineStr">
        <is>
          <t>FR-UX-004 / FR-UX-007</t>
        </is>
      </c>
    </row>
    <row r="29" ht="60" customHeight="1">
      <c r="A29" s="10" t="inlineStr">
        <is>
          <t>PBI_23</t>
        </is>
      </c>
      <c r="B29" s="10" t="n">
        <v>2300</v>
      </c>
      <c r="C29" s="10" t="inlineStr">
        <is>
          <t>新需求</t>
        </is>
      </c>
      <c r="D29" s="10" t="inlineStr">
        <is>
          <t>功能性</t>
        </is>
      </c>
      <c r="E29" s="13" t="inlineStr">
        <is>
          <t>作为质量负责人，我希望复核者身份由服务端凭据绑定，以便盲审结论不会被自报身份或共享令牌冒充</t>
        </is>
      </c>
      <c r="F29" s="13" t="inlineStr">
        <is>
          <t>1 客户端不能自报身份或角色；2 Admin/共享 Reviewer 令牌不能冒充真人；3 复核记录只持久化稳定的主体哈希</t>
        </is>
      </c>
      <c r="G29" s="10" t="inlineStr">
        <is>
          <t>中</t>
        </is>
      </c>
      <c r="H29" s="10" t="inlineStr">
        <is>
          <t>Sprint3</t>
        </is>
      </c>
      <c r="I29" s="14" t="n">
        <v>13</v>
      </c>
      <c r="J29" s="15" t="n">
        <v>1</v>
      </c>
      <c r="K29" s="10">
        <f>ROUND(I29*J29,0)</f>
        <v/>
      </c>
      <c r="L29" s="14" t="inlineStr">
        <is>
          <t>完成</t>
        </is>
      </c>
      <c r="M29" s="13" t="inlineStr">
        <is>
          <t>CHANGELOG 2026.08.18.3；docs/ADJUDICATION_V3_WORKFLOW.md</t>
        </is>
      </c>
    </row>
    <row r="30" ht="60" customHeight="1">
      <c r="A30" s="16" t="inlineStr">
        <is>
          <t>PBI_24</t>
        </is>
      </c>
      <c r="B30" s="16" t="n">
        <v>2400</v>
      </c>
      <c r="C30" s="16" t="inlineStr">
        <is>
          <t>新需求</t>
        </is>
      </c>
      <c r="D30" s="16" t="inlineStr">
        <is>
          <t>功能性</t>
        </is>
      </c>
      <c r="E30" s="17" t="inlineStr">
        <is>
          <t>作为质量负责人，我希望盲测集在事件时点合同下冻结且不可回溯污染，以便盲测结果真的算数</t>
        </is>
      </c>
      <c r="F30" s="17" t="inlineStr">
        <is>
          <t>1 human-blind-v3.1 事件时点合同、issuer/event-chain 分组门；2 精确与近重复排除；3 一次性哈希冻结，缺任一历史清单即 fail closed</t>
        </is>
      </c>
      <c r="G30" s="16" t="inlineStr">
        <is>
          <t>高</t>
        </is>
      </c>
      <c r="H30" s="16" t="inlineStr">
        <is>
          <t>Sprint3</t>
        </is>
      </c>
      <c r="I30" s="14" t="n">
        <v>20</v>
      </c>
      <c r="J30" s="15" t="n">
        <v>1</v>
      </c>
      <c r="K30" s="16">
        <f>ROUND(I30*J30,0)</f>
        <v/>
      </c>
      <c r="L30" s="14" t="inlineStr">
        <is>
          <t>完成</t>
        </is>
      </c>
      <c r="M30" s="17" t="inlineStr">
        <is>
          <t>scripts/freeze_human_blind_v3.py</t>
        </is>
      </c>
    </row>
    <row r="31" ht="60" customHeight="1">
      <c r="A31" s="10" t="inlineStr">
        <is>
          <t>PBI_25</t>
        </is>
      </c>
      <c r="B31" s="10" t="n">
        <v>2500</v>
      </c>
      <c r="C31" s="10" t="inlineStr">
        <is>
          <t>新需求</t>
        </is>
      </c>
      <c r="D31" s="10" t="inlineStr">
        <is>
          <t>功能性</t>
        </is>
      </c>
      <c r="E31" s="13" t="inlineStr">
        <is>
          <t>作为研究者，我希望从事件卡一跳到最高权威原始来源并能原样返回，以便我不会因为看原文而丢失筛选和位置</t>
        </is>
      </c>
      <c r="F31" s="13" t="inlineStr">
        <is>
          <t>1 事件卡具备稳定返回锚点；2 预览/返回后筛选条件不丢失；3 最高权威来源是显式外跳入口</t>
        </is>
      </c>
      <c r="G31" s="10" t="inlineStr">
        <is>
          <t>中</t>
        </is>
      </c>
      <c r="H31" s="10" t="inlineStr">
        <is>
          <t>Sprint3</t>
        </is>
      </c>
      <c r="I31" s="14" t="n">
        <v>8</v>
      </c>
      <c r="J31" s="15" t="n">
        <v>1</v>
      </c>
      <c r="K31" s="10">
        <f>ROUND(I31*J31,0)</f>
        <v/>
      </c>
      <c r="L31" s="14" t="inlineStr">
        <is>
          <t>完成</t>
        </is>
      </c>
      <c r="M31" s="13" t="inlineStr">
        <is>
          <t>CHANGELOG 2026.08.18.3</t>
        </is>
      </c>
    </row>
    <row r="32" ht="60" customHeight="1">
      <c r="A32" s="16" t="inlineStr">
        <is>
          <t>PBI_26</t>
        </is>
      </c>
      <c r="B32" s="16" t="n">
        <v>2600</v>
      </c>
      <c r="C32" s="16" t="inlineStr">
        <is>
          <t>新需求</t>
        </is>
      </c>
      <c r="D32" s="16" t="inlineStr">
        <is>
          <t>功能性</t>
        </is>
      </c>
      <c r="E32" s="17" t="inlineStr">
        <is>
          <t>作为回访的研究者，我希望看到自上次查看后状态、版本和证据的变化，以便快速定位新增信息</t>
        </is>
      </c>
      <c r="F32" s="17" t="inlineStr">
        <is>
          <t>1 仅限本次浏览会话的变化快照；2 说明状态/版本/证据三类变化；3 不产生服务器端用户画像</t>
        </is>
      </c>
      <c r="G32" s="16" t="inlineStr">
        <is>
          <t>低</t>
        </is>
      </c>
      <c r="H32" s="16" t="inlineStr">
        <is>
          <t>Sprint3</t>
        </is>
      </c>
      <c r="I32" s="14" t="n">
        <v>5</v>
      </c>
      <c r="J32" s="15" t="n">
        <v>1</v>
      </c>
      <c r="K32" s="16">
        <f>ROUND(I32*J32,0)</f>
        <v/>
      </c>
      <c r="L32" s="14" t="inlineStr">
        <is>
          <t>完成</t>
        </is>
      </c>
      <c r="M32" s="17" t="inlineStr">
        <is>
          <t>CHANGELOG 2026.08.18.3</t>
        </is>
      </c>
    </row>
    <row r="33" ht="60" customHeight="1">
      <c r="A33" s="10" t="inlineStr">
        <is>
          <t>PBI_27</t>
        </is>
      </c>
      <c r="B33" s="10" t="n">
        <v>2700</v>
      </c>
      <c r="C33" s="10" t="inlineStr">
        <is>
          <t>新需求</t>
        </is>
      </c>
      <c r="D33" s="10" t="inlineStr">
        <is>
          <t>非功能性</t>
        </is>
      </c>
      <c r="E33" s="13" t="inlineStr">
        <is>
          <t>作为所有者，我希望有一份只读的历史事实完整性审计，以便在动手改历史之前先知道到底有多少债</t>
        </is>
      </c>
      <c r="F33" s="13" t="inlineStr">
        <is>
          <t>1 以 SQLite mode=ro 打开，read_only=true 且 canonical_mutation_attempted=false；2 决策与证据边分开计数；3 输出精确清单与报告 SHA-256</t>
        </is>
      </c>
      <c r="G33" s="10" t="inlineStr">
        <is>
          <t>中</t>
        </is>
      </c>
      <c r="H33" s="10" t="inlineStr">
        <is>
          <t>Sprint3</t>
        </is>
      </c>
      <c r="I33" s="14" t="n">
        <v>13</v>
      </c>
      <c r="J33" s="15" t="n">
        <v>1</v>
      </c>
      <c r="K33" s="10">
        <f>ROUND(I33*J33,0)</f>
        <v/>
      </c>
      <c r="L33" s="14" t="inlineStr">
        <is>
          <t>完成</t>
        </is>
      </c>
      <c r="M33" s="13" t="inlineStr">
        <is>
          <t>scripts/audit_fact_integrity_history.py（v2）</t>
        </is>
      </c>
    </row>
    <row r="34" ht="60" customHeight="1">
      <c r="A34" s="16" t="inlineStr">
        <is>
          <t>PBI_28</t>
        </is>
      </c>
      <c r="B34" s="16" t="n">
        <v>2800</v>
      </c>
      <c r="C34" s="16" t="inlineStr">
        <is>
          <t>缺陷</t>
        </is>
      </c>
      <c r="D34" s="16" t="inlineStr">
        <is>
          <t>非功能性</t>
        </is>
      </c>
      <c r="E34" s="17" t="inlineStr">
        <is>
          <t>作为运维者，我需要修复发布归档漏装正式 SHADOW 模型导致静默退化为关键词兜底的问题，以便线上模型与声明一致</t>
        </is>
      </c>
      <c r="F34" s="17" t="inlineStr">
        <is>
          <t>1 risk_router.joblib、SHA 声明、模型卡与 blind-v3 报告列为发布关键文件；2 生产模型文件 SHA-256 与三份声明精确一致；3 缺失即发布失败，不静默 fallback</t>
        </is>
      </c>
      <c r="G34" s="16" t="inlineStr">
        <is>
          <t>中</t>
        </is>
      </c>
      <c r="H34" s="16" t="inlineStr">
        <is>
          <t>Sprint3</t>
        </is>
      </c>
      <c r="I34" s="14" t="n">
        <v>8</v>
      </c>
      <c r="J34" s="15" t="n">
        <v>1</v>
      </c>
      <c r="K34" s="16">
        <f>ROUND(I34*J34,0)</f>
        <v/>
      </c>
      <c r="L34" s="14" t="inlineStr">
        <is>
          <t>完成</t>
        </is>
      </c>
      <c r="M34" s="17" t="inlineStr">
        <is>
          <t>CHANGELOG 2026.08.18.3；异机恢复审计 FAIL→PASS 记录</t>
        </is>
      </c>
    </row>
    <row r="35" ht="60" customHeight="1">
      <c r="A35" s="10" t="inlineStr">
        <is>
          <t>PBI_29</t>
        </is>
      </c>
      <c r="B35" s="10" t="n">
        <v>2900</v>
      </c>
      <c r="C35" s="10" t="inlineStr">
        <is>
          <t>缺陷</t>
        </is>
      </c>
      <c r="D35" s="10" t="inlineStr">
        <is>
          <t>非功能性</t>
        </is>
      </c>
      <c r="E35" s="13" t="inlineStr">
        <is>
          <t>作为复核者，我需要修复旧审计把 Agent decision 单位误报成证据边的口径错误，以便债务规模不被夸大或缩小</t>
        </is>
      </c>
      <c r="F35" s="13" t="inlineStr">
        <is>
          <t>1 v2 分开输出 decision 与 rejected_edge_total；2 轻量正式化按 review_reasons 拆分原因；3 不同单位的分类不得相加成单一数字</t>
        </is>
      </c>
      <c r="G35" s="10" t="inlineStr">
        <is>
          <t>低</t>
        </is>
      </c>
      <c r="H35" s="10" t="inlineStr">
        <is>
          <t>Sprint3</t>
        </is>
      </c>
      <c r="I35" s="14" t="n">
        <v>5</v>
      </c>
      <c r="J35" s="15" t="n">
        <v>1</v>
      </c>
      <c r="K35" s="10">
        <f>ROUND(I35*J35,0)</f>
        <v/>
      </c>
      <c r="L35" s="14" t="inlineStr">
        <is>
          <t>完成</t>
        </is>
      </c>
      <c r="M35" s="13" t="inlineStr">
        <is>
          <t>reports/HISTORICAL_INTEGRITY_DEBT_OPTIONS_2026-08-19.md</t>
        </is>
      </c>
    </row>
    <row r="36" ht="60" customHeight="1">
      <c r="A36" s="16" t="inlineStr">
        <is>
          <t>PBI_30</t>
        </is>
      </c>
      <c r="B36" s="16" t="n">
        <v>3000</v>
      </c>
      <c r="C36" s="16" t="inlineStr">
        <is>
          <t>新需求</t>
        </is>
      </c>
      <c r="D36" s="16" t="inlineStr">
        <is>
          <t>非功能性</t>
        </is>
      </c>
      <c r="E36" s="17" t="inlineStr">
        <is>
          <t>作为所有者，我希望异机恢复流程隐蔽、密钥分离并保持单份轮换，以便恢复能力不引入新的暴露面</t>
        </is>
      </c>
      <c r="F36" s="17" t="inlineStr">
        <is>
          <t>1 计划任务隐藏、非交互、S4U；2 密文在 D 盘、口令独立存放；3 后继副本验证通过后才淘汰前一份</t>
        </is>
      </c>
      <c r="G36" s="16" t="inlineStr">
        <is>
          <t>中</t>
        </is>
      </c>
      <c r="H36" s="16" t="inlineStr">
        <is>
          <t>Sprint3</t>
        </is>
      </c>
      <c r="I36" s="14" t="n">
        <v>13</v>
      </c>
      <c r="J36" s="15" t="n">
        <v>1</v>
      </c>
      <c r="K36" s="16">
        <f>ROUND(I36*J36,0)</f>
        <v/>
      </c>
      <c r="L36" s="14" t="inlineStr">
        <is>
          <t>完成</t>
        </is>
      </c>
      <c r="M36" s="17" t="inlineStr">
        <is>
          <t>CHANGELOG 2026.08.18.2/.3；CURRENT_STATE.md</t>
        </is>
      </c>
    </row>
    <row r="37" ht="60" customHeight="1">
      <c r="A37" s="10" t="inlineStr">
        <is>
          <t>PBI_31</t>
        </is>
      </c>
      <c r="B37" s="10" t="n">
        <v>3100</v>
      </c>
      <c r="C37" s="10" t="inlineStr">
        <is>
          <t>新需求</t>
        </is>
      </c>
      <c r="D37" s="10" t="inlineStr">
        <is>
          <t>功能性</t>
        </is>
      </c>
      <c r="E37" s="13" t="inlineStr">
        <is>
          <t>作为质量负责人，我希望按来源层级、事件类别、证据状态和时间分层抽样待核验事件，以便质量结论不是只挑了容易的案例</t>
        </is>
      </c>
      <c r="F37" s="13" t="inlineStr">
        <is>
          <t>1 抽样覆盖 ≥3 个来源层级与 ≥5 个主要事件类别；2 同一随机种子重复运行结果一致；3 抽样清单绑定冻结时间与哈希，并排除历史盲集与近重复</t>
        </is>
      </c>
      <c r="G37" s="10" t="inlineStr">
        <is>
          <t>中</t>
        </is>
      </c>
      <c r="H37" s="10" t="inlineStr">
        <is>
          <t>Sprint4</t>
        </is>
      </c>
      <c r="I37" s="14" t="n">
        <v>8</v>
      </c>
      <c r="J37" s="15" t="n">
        <v>1</v>
      </c>
      <c r="K37" s="10">
        <f>ROUND(I37*J37,0)</f>
        <v/>
      </c>
      <c r="L37" s="14" t="inlineStr">
        <is>
          <t>未开始</t>
        </is>
      </c>
      <c r="M37" s="13" t="inlineStr">
        <is>
          <t>docs/NEXT_PHASE_PLAN_2026-08-15.md 阶段2-1</t>
        </is>
      </c>
    </row>
    <row r="38" ht="60" customHeight="1">
      <c r="A38" s="16" t="inlineStr">
        <is>
          <t>PBI_32</t>
        </is>
      </c>
      <c r="B38" s="16" t="n">
        <v>3200</v>
      </c>
      <c r="C38" s="16" t="inlineStr">
        <is>
          <t>新需求</t>
        </is>
      </c>
      <c r="D38" s="16" t="inlineStr">
        <is>
          <t>功能性</t>
        </is>
      </c>
      <c r="E38" s="17" t="inlineStr">
        <is>
          <t>作为复核者，我希望在 Reviewer 工作面记录证据是否足够、结论是否改变、是否撤回及理由，以便质量数据来自真实复核而不是模型自评</t>
        </is>
      </c>
      <c r="F38" s="17" t="inlineStr">
        <is>
          <t>1 复核记录含足够性、结论变更、撤回与理由码四个字段；2 写入绑定服务端凭据主体哈希；3 撤回路径可回放且不静默改历史</t>
        </is>
      </c>
      <c r="G38" s="16" t="inlineStr">
        <is>
          <t>中</t>
        </is>
      </c>
      <c r="H38" s="16" t="inlineStr">
        <is>
          <t>Sprint4</t>
        </is>
      </c>
      <c r="I38" s="14" t="n">
        <v>8</v>
      </c>
      <c r="J38" s="15" t="n">
        <v>1</v>
      </c>
      <c r="K38" s="16">
        <f>ROUND(I38*J38,0)</f>
        <v/>
      </c>
      <c r="L38" s="14" t="inlineStr">
        <is>
          <t>未开始</t>
        </is>
      </c>
      <c r="M38" s="17" t="inlineStr">
        <is>
          <t>docs/NEXT_PHASE_PLAN_2026-08-15.md 阶段2-2</t>
        </is>
      </c>
    </row>
    <row r="39" ht="60" customHeight="1">
      <c r="A39" s="10" t="inlineStr">
        <is>
          <t>PBI_33</t>
        </is>
      </c>
      <c r="B39" s="10" t="n">
        <v>3300</v>
      </c>
      <c r="C39" s="10" t="inlineStr">
        <is>
          <t>新需求</t>
        </is>
      </c>
      <c r="D39" s="10" t="inlineStr">
        <is>
          <t>功能性</t>
        </is>
      </c>
      <c r="E39" s="13" t="inlineStr">
        <is>
          <t>作为质量负责人，我希望同一小样本由两人独立复核并统计一致率与分歧类型，以便我知道结论的可靠程度</t>
        </is>
      </c>
      <c r="F39" s="13" t="inlineStr">
        <is>
          <t>1 两名复核者互不可见且不能提交目标标签；2 输出一致率、kappa 与分歧类型分布；3 分歧进入第三人裁决并冻结样本版本；4 AI 输出不得进入盲审输入</t>
        </is>
      </c>
      <c r="G39" s="10" t="inlineStr">
        <is>
          <t>高</t>
        </is>
      </c>
      <c r="H39" s="10" t="inlineStr">
        <is>
          <t>Sprint4</t>
        </is>
      </c>
      <c r="I39" s="14" t="n">
        <v>13</v>
      </c>
      <c r="J39" s="15" t="n">
        <v>1</v>
      </c>
      <c r="K39" s="10">
        <f>ROUND(I39*J39,0)</f>
        <v/>
      </c>
      <c r="L39" s="14" t="inlineStr">
        <is>
          <t>未开始</t>
        </is>
      </c>
      <c r="M39" s="13" t="inlineStr">
        <is>
          <t>docs/NEXT_PHASE_PLAN_2026-08-15.md 阶段2-3</t>
        </is>
      </c>
    </row>
    <row r="40" ht="60" customHeight="1">
      <c r="A40" s="16" t="inlineStr">
        <is>
          <t>PBI_34</t>
        </is>
      </c>
      <c r="B40" s="16" t="n">
        <v>3400</v>
      </c>
      <c r="C40" s="16" t="inlineStr">
        <is>
          <t>新需求</t>
        </is>
      </c>
      <c r="D40" s="16" t="inlineStr">
        <is>
          <t>功能性</t>
        </is>
      </c>
      <c r="E40" s="17" t="inlineStr">
        <is>
          <t>作为所有者，我希望有一块最小质量看板，以便用几个数字判断产品是否真的让人更快完成核验闭环</t>
        </is>
      </c>
      <c r="F40" s="17" t="inlineStr">
        <is>
          <t>1 展示到达原文用时、可引用证据覆盖、结论变更率、撤回率、队列年龄五项；2 每项标注测量窗口与样本量；3 样本不足显示 UNAVAILABLE 或置信区间；4 分层展示而非只报总体均值</t>
        </is>
      </c>
      <c r="G40" s="16" t="inlineStr">
        <is>
          <t>高</t>
        </is>
      </c>
      <c r="H40" s="16" t="inlineStr">
        <is>
          <t>Sprint4</t>
        </is>
      </c>
      <c r="I40" s="14" t="n">
        <v>13</v>
      </c>
      <c r="J40" s="15" t="n">
        <v>1</v>
      </c>
      <c r="K40" s="16">
        <f>ROUND(I40*J40,0)</f>
        <v/>
      </c>
      <c r="L40" s="14" t="inlineStr">
        <is>
          <t>未开始</t>
        </is>
      </c>
      <c r="M40" s="17" t="inlineStr">
        <is>
          <t>docs/NEXT_PHASE_PLAN_2026-08-15.md 阶段2-4；FR-KPI-002/003/004</t>
        </is>
      </c>
    </row>
    <row r="41" ht="60" customHeight="1">
      <c r="A41" s="10" t="inlineStr">
        <is>
          <t>PBI_35</t>
        </is>
      </c>
      <c r="B41" s="10" t="n">
        <v>3500</v>
      </c>
      <c r="C41" s="10" t="inlineStr">
        <is>
          <t>新需求</t>
        </is>
      </c>
      <c r="D41" s="10" t="inlineStr">
        <is>
          <t>非功能性</t>
        </is>
      </c>
      <c r="E41" s="13" t="inlineStr">
        <is>
          <t>作为复核者，我希望每个质量数字都能点回原始依据，以便看板不会变成又一个不可核对的宣称</t>
        </is>
      </c>
      <c r="F41" s="13" t="inlineStr">
        <is>
          <t>1 每个指标可回到抽样定义、事件 ID、证据 ID、复核者与冻结时间；2 公开输出不泄漏事件 ID 以外的受限内容；3 回溯链完整性由测试守护</t>
        </is>
      </c>
      <c r="G41" s="10" t="inlineStr">
        <is>
          <t>低</t>
        </is>
      </c>
      <c r="H41" s="10" t="inlineStr">
        <is>
          <t>Sprint4</t>
        </is>
      </c>
      <c r="I41" s="14" t="n">
        <v>5</v>
      </c>
      <c r="J41" s="15" t="n">
        <v>1</v>
      </c>
      <c r="K41" s="10">
        <f>ROUND(I41*J41,0)</f>
        <v/>
      </c>
      <c r="L41" s="14" t="inlineStr">
        <is>
          <t>未开始</t>
        </is>
      </c>
      <c r="M41" s="13" t="inlineStr">
        <is>
          <t>docs/NEXT_PHASE_PLAN_2026-08-15.md 阶段2 验收门</t>
        </is>
      </c>
    </row>
    <row r="42" ht="60" customHeight="1">
      <c r="A42" s="16" t="inlineStr">
        <is>
          <t>PBI_36</t>
        </is>
      </c>
      <c r="B42" s="16" t="n">
        <v>3600</v>
      </c>
      <c r="C42" s="16" t="inlineStr">
        <is>
          <t>缺陷</t>
        </is>
      </c>
      <c r="D42" s="16" t="inlineStr">
        <is>
          <t>非功能性</t>
        </is>
      </c>
      <c r="E42" s="17" t="inlineStr">
        <is>
          <t>作为运维者，我需要处理 Worker 因一个已失效原始页面 404 长期标记 DEGRADED 的问题，以便来源健康状态能反映真实情况</t>
        </is>
      </c>
      <c r="F42" s="17" t="inlineStr">
        <is>
          <t>1 定位并记录失效来源根因；2 来源退役/替换有明确流程与记录；3 单来源 404 只降级该子状态且不阻断周期（回归测试）；4 不把单源失败写成全局健康</t>
        </is>
      </c>
      <c r="G42" s="16" t="inlineStr">
        <is>
          <t>低</t>
        </is>
      </c>
      <c r="H42" s="16" t="inlineStr">
        <is>
          <t>Sprint4</t>
        </is>
      </c>
      <c r="I42" s="14" t="n">
        <v>5</v>
      </c>
      <c r="J42" s="15" t="n">
        <v>1.2</v>
      </c>
      <c r="K42" s="16">
        <f>ROUND(I42*J42,0)</f>
        <v/>
      </c>
      <c r="L42" s="14" t="inlineStr">
        <is>
          <t>未开始</t>
        </is>
      </c>
      <c r="M42" s="17" t="inlineStr">
        <is>
          <t>CURRENT_STATE.md 2026-08-19 Worker 周期记录</t>
        </is>
      </c>
    </row>
    <row r="43" ht="60" customHeight="1">
      <c r="A43" s="10" t="inlineStr">
        <is>
          <t>PBI_37</t>
        </is>
      </c>
      <c r="B43" s="10" t="n">
        <v>3700</v>
      </c>
      <c r="C43" s="10" t="inlineStr">
        <is>
          <t>新需求</t>
        </is>
      </c>
      <c r="D43" s="10" t="inlineStr">
        <is>
          <t>非功能性</t>
        </is>
      </c>
      <c r="E43" s="13" t="inlineStr">
        <is>
          <t>作为所有者，我希望在生产两库上只读复跑 v2 历史审计并保存哈希，以便任何处置动作之前先有当前精确清单</t>
        </is>
      </c>
      <c r="F43" s="13" t="inlineStr">
        <is>
          <t>1 read_only=true 且 canonical_mutation_attempted=false；2 保存 JSON/Markdown 与 SHA-256 并更新 CURRENT_STATE；3 输出 A/B/C/D 限额批次建议但不执行任何写入</t>
        </is>
      </c>
      <c r="G43" s="10" t="inlineStr">
        <is>
          <t>低</t>
        </is>
      </c>
      <c r="H43" s="10" t="inlineStr">
        <is>
          <t>Sprint4</t>
        </is>
      </c>
      <c r="I43" s="14" t="n">
        <v>5</v>
      </c>
      <c r="J43" s="15" t="n">
        <v>1.2</v>
      </c>
      <c r="K43" s="10">
        <f>ROUND(I43*J43,0)</f>
        <v/>
      </c>
      <c r="L43" s="14" t="inlineStr">
        <is>
          <t>未开始</t>
        </is>
      </c>
      <c r="M43" s="13" t="inlineStr">
        <is>
          <t>reports/HISTORICAL_INTEGRITY_DEBT_OPTIONS_2026-08-19.md 执行门 1</t>
        </is>
      </c>
    </row>
    <row r="44" ht="60" customHeight="1">
      <c r="A44" s="16" t="inlineStr">
        <is>
          <t>PBI_38</t>
        </is>
      </c>
      <c r="B44" s="16" t="n">
        <v>3800</v>
      </c>
      <c r="C44" s="16" t="inlineStr">
        <is>
          <t>新需求</t>
        </is>
      </c>
      <c r="D44" s="16" t="inlineStr">
        <is>
          <t>功能性</t>
        </is>
      </c>
      <c r="E44" s="17" t="inlineStr">
        <is>
          <t>作为持续跟踪某几家公司的研究者，我希望关注主体/主题并在浏览器本机保存筛选，以便每次回来不用重新设置</t>
        </is>
      </c>
      <c r="F44" s="17" t="inlineStr">
        <is>
          <t>1 关注与筛选在浏览器本机保存，不建账户系统；2 本机状态不上传服务器；3 保存视图可命名、恢复与删除</t>
        </is>
      </c>
      <c r="G44" s="16" t="inlineStr">
        <is>
          <t>中</t>
        </is>
      </c>
      <c r="H44" s="16" t="inlineStr">
        <is>
          <t>Sprint5</t>
        </is>
      </c>
      <c r="I44" s="14" t="n">
        <v>8</v>
      </c>
      <c r="J44" s="15" t="n">
        <v>1</v>
      </c>
      <c r="K44" s="16">
        <f>ROUND(I44*J44,0)</f>
        <v/>
      </c>
      <c r="L44" s="14" t="inlineStr">
        <is>
          <t>未开始</t>
        </is>
      </c>
      <c r="M44" s="17" t="inlineStr">
        <is>
          <t>NEXT_PHASE_PLAN 阶段3；FR-KPI-003</t>
        </is>
      </c>
    </row>
    <row r="45" ht="60" customHeight="1">
      <c r="A45" s="10" t="inlineStr">
        <is>
          <t>PBI_39</t>
        </is>
      </c>
      <c r="B45" s="10" t="n">
        <v>3900</v>
      </c>
      <c r="C45" s="10" t="inlineStr">
        <is>
          <t>新需求</t>
        </is>
      </c>
      <c r="D45" s="10" t="inlineStr">
        <is>
          <t>功能性</t>
        </is>
      </c>
      <c r="E45" s="13" t="inlineStr">
        <is>
          <t>作为回访研究者，我希望看到同一事件的修订时间线和跨会话的“自上次查看后的变化”，以便判断结论是否已经被更正</t>
        </is>
      </c>
      <c r="F45" s="13" t="inlineStr">
        <is>
          <t>1 时间线展示版本、状态与证据变化；2 变化对比可跨浏览器会话；3 不引入服务器端用户档案</t>
        </is>
      </c>
      <c r="G45" s="10" t="inlineStr">
        <is>
          <t>高</t>
        </is>
      </c>
      <c r="H45" s="10" t="inlineStr">
        <is>
          <t>Sprint5</t>
        </is>
      </c>
      <c r="I45" s="14" t="n">
        <v>13</v>
      </c>
      <c r="J45" s="15" t="n">
        <v>1</v>
      </c>
      <c r="K45" s="10">
        <f>ROUND(I45*J45,0)</f>
        <v/>
      </c>
      <c r="L45" s="14" t="inlineStr">
        <is>
          <t>未开始</t>
        </is>
      </c>
      <c r="M45" s="13" t="inlineStr">
        <is>
          <t>NEXT_PHASE_PLAN 阶段3</t>
        </is>
      </c>
    </row>
    <row r="46" ht="60" customHeight="1">
      <c r="A46" s="16" t="inlineStr">
        <is>
          <t>PBI_40</t>
        </is>
      </c>
      <c r="B46" s="16" t="n">
        <v>4000</v>
      </c>
      <c r="C46" s="16" t="inlineStr">
        <is>
          <t>新需求</t>
        </is>
      </c>
      <c r="D46" s="16" t="inlineStr">
        <is>
          <t>功能性</t>
        </is>
      </c>
      <c r="E46" s="17" t="inlineStr">
        <is>
          <t>作为研究者，我希望在证据补齐、出现正式更正或来源冲突时收到只读提醒，以便不用反复手动巡检</t>
        </is>
      </c>
      <c r="F46" s="17" t="inlineStr">
        <is>
          <t>1 提醒只读、幂等、可撤回；2 不恢复默认 Telegram 外发，启用需单独授权；3 提醒不含任何交易建议</t>
        </is>
      </c>
      <c r="G46" s="16" t="inlineStr">
        <is>
          <t>中</t>
        </is>
      </c>
      <c r="H46" s="16" t="inlineStr">
        <is>
          <t>Sprint5</t>
        </is>
      </c>
      <c r="I46" s="14" t="n">
        <v>8</v>
      </c>
      <c r="J46" s="15" t="n">
        <v>1</v>
      </c>
      <c r="K46" s="16">
        <f>ROUND(I46*J46,0)</f>
        <v/>
      </c>
      <c r="L46" s="14" t="inlineStr">
        <is>
          <t>未开始</t>
        </is>
      </c>
      <c r="M46" s="17" t="inlineStr">
        <is>
          <t>NEXT_PHASE_PLAN 阶段3；明确不做清单</t>
        </is>
      </c>
    </row>
    <row r="47" ht="60" customHeight="1">
      <c r="A47" s="10" t="inlineStr">
        <is>
          <t>PBI_41</t>
        </is>
      </c>
      <c r="B47" s="10" t="n">
        <v>4100</v>
      </c>
      <c r="C47" s="10" t="inlineStr">
        <is>
          <t>新需求</t>
        </is>
      </c>
      <c r="D47" s="10" t="inlineStr">
        <is>
          <t>功能性</t>
        </is>
      </c>
      <c r="E47" s="13" t="inlineStr">
        <is>
          <t>作为研究者，我希望从事件卡一跳到原文的精确段落并能返回原筛选位置，以便核验路径最短</t>
        </is>
      </c>
      <c r="F47" s="13" t="inlineStr">
        <is>
          <t>1 定位到段落级锚点而不仅是页面；2 返回保留筛选与滚动位置；3 原文不可达时显式说明并给出替代路径</t>
        </is>
      </c>
      <c r="G47" s="10" t="inlineStr">
        <is>
          <t>中</t>
        </is>
      </c>
      <c r="H47" s="10" t="inlineStr">
        <is>
          <t>Sprint5</t>
        </is>
      </c>
      <c r="I47" s="14" t="n">
        <v>8</v>
      </c>
      <c r="J47" s="15" t="n">
        <v>1</v>
      </c>
      <c r="K47" s="10">
        <f>ROUND(I47*J47,0)</f>
        <v/>
      </c>
      <c r="L47" s="14" t="inlineStr">
        <is>
          <t>未开始</t>
        </is>
      </c>
      <c r="M47" s="13" t="inlineStr">
        <is>
          <t>NEXT_PHASE_PLAN 阶段3</t>
        </is>
      </c>
    </row>
    <row r="48" ht="60" customHeight="1">
      <c r="A48" s="16" t="inlineStr">
        <is>
          <t>PBI_42</t>
        </is>
      </c>
      <c r="B48" s="16" t="n">
        <v>4200</v>
      </c>
      <c r="C48" s="16" t="inlineStr">
        <is>
          <t>新需求</t>
        </is>
      </c>
      <c r="D48" s="16" t="inlineStr">
        <is>
          <t>非功能性</t>
        </is>
      </c>
      <c r="E48" s="17" t="inlineStr">
        <is>
          <t>作为所有者，我希望用真实任务计时验证“找到值得看的事件”和“到达原始证据”的时间确实下降，以便决定是否继续投入</t>
        </is>
      </c>
      <c r="F48" s="17" t="inlineStr">
        <is>
          <t>1 至少两轮同口径任务计时并保留证据；2 报告对比基线与样本量；3 没有改善就回到根因修复，不以功能数量充数</t>
        </is>
      </c>
      <c r="G48" s="16" t="inlineStr">
        <is>
          <t>低</t>
        </is>
      </c>
      <c r="H48" s="16" t="inlineStr">
        <is>
          <t>Sprint5</t>
        </is>
      </c>
      <c r="I48" s="14" t="n">
        <v>5</v>
      </c>
      <c r="J48" s="15" t="n">
        <v>1.2</v>
      </c>
      <c r="K48" s="16">
        <f>ROUND(I48*J48,0)</f>
        <v/>
      </c>
      <c r="L48" s="14" t="inlineStr">
        <is>
          <t>未开始</t>
        </is>
      </c>
      <c r="M48" s="17" t="inlineStr">
        <is>
          <t>NEXT_PHASE_PLAN 阶段3 验收门与决策节奏</t>
        </is>
      </c>
    </row>
    <row r="49" ht="60" customHeight="1">
      <c r="A49" s="10" t="inlineStr">
        <is>
          <t>PBI_43</t>
        </is>
      </c>
      <c r="B49" s="10" t="n">
        <v>4300</v>
      </c>
      <c r="C49" s="10" t="inlineStr">
        <is>
          <t>新需求</t>
        </is>
      </c>
      <c r="D49" s="10" t="inlineStr">
        <is>
          <t>非功能性</t>
        </is>
      </c>
      <c r="E49" s="13" t="inlineStr">
        <is>
          <t>作为运维者，我希望备份状态收据由特权流程原子生成，以便公开 API 不需要备份目录读取权也能表达真实状态</t>
        </is>
      </c>
      <c r="F49" s="13" t="inlineStr">
        <is>
          <t>1 收据绑定 snapshot、manifest hash 与验证时间；2 公开 API 无备份目录读取权；3 收据缺失时显示 UNVERIFIABLE_PROTECTED 而不是失败</t>
        </is>
      </c>
      <c r="G49" s="10" t="inlineStr">
        <is>
          <t>中</t>
        </is>
      </c>
      <c r="H49" s="10" t="inlineStr">
        <is>
          <t>Sprint6</t>
        </is>
      </c>
      <c r="I49" s="14" t="n">
        <v>8</v>
      </c>
      <c r="J49" s="15" t="n">
        <v>1</v>
      </c>
      <c r="K49" s="10">
        <f>ROUND(I49*J49,0)</f>
        <v/>
      </c>
      <c r="L49" s="14" t="inlineStr">
        <is>
          <t>未开始</t>
        </is>
      </c>
      <c r="M49" s="13" t="inlineStr">
        <is>
          <t>NEXT_PHASE_PLAN 阶段4-1</t>
        </is>
      </c>
    </row>
    <row r="50" ht="60" customHeight="1">
      <c r="A50" s="16" t="inlineStr">
        <is>
          <t>PBI_44</t>
        </is>
      </c>
      <c r="B50" s="16" t="n">
        <v>4400</v>
      </c>
      <c r="C50" s="16" t="inlineStr">
        <is>
          <t>新需求</t>
        </is>
      </c>
      <c r="D50" s="16" t="inlineStr">
        <is>
          <t>非功能性</t>
        </is>
      </c>
      <c r="E50" s="17" t="inlineStr">
        <is>
          <t>作为读者，我希望“服务活着 / Worker 最近成功 / 某来源降级 / 备份已验证但低权限不可探测”分开表达，以便不同问题不会被混成一个绿灯</t>
        </is>
      </c>
      <c r="F50" s="17" t="inlineStr">
        <is>
          <t>1 四类状态各自独立字段与文案；2 不把 UNVERIFIABLE_PROTECTED 误解为失败；3 不把旧数据库记录误报为新鲜实体</t>
        </is>
      </c>
      <c r="G50" s="16" t="inlineStr">
        <is>
          <t>低</t>
        </is>
      </c>
      <c r="H50" s="16" t="inlineStr">
        <is>
          <t>Sprint6</t>
        </is>
      </c>
      <c r="I50" s="14" t="n">
        <v>5</v>
      </c>
      <c r="J50" s="15" t="n">
        <v>1</v>
      </c>
      <c r="K50" s="16">
        <f>ROUND(I50*J50,0)</f>
        <v/>
      </c>
      <c r="L50" s="14" t="inlineStr">
        <is>
          <t>未开始</t>
        </is>
      </c>
      <c r="M50" s="17" t="inlineStr">
        <is>
          <t>NEXT_PHASE_PLAN 阶段4-2</t>
        </is>
      </c>
    </row>
    <row r="51" ht="60" customHeight="1">
      <c r="A51" s="10" t="inlineStr">
        <is>
          <t>PBI_45</t>
        </is>
      </c>
      <c r="B51" s="10" t="n">
        <v>4500</v>
      </c>
      <c r="C51" s="10" t="inlineStr">
        <is>
          <t>新需求</t>
        </is>
      </c>
      <c r="D51" s="10" t="inlineStr">
        <is>
          <t>非功能性</t>
        </is>
      </c>
      <c r="E51" s="13" t="inlineStr">
        <is>
          <t>作为所有者，我希望关闭 GOV-2026-08-19-01：公共 Release 中的生产恢复密文，以便恢复材料不再放在公开仓库</t>
        </is>
      </c>
      <c r="F51" s="13" t="inlineStr">
        <is>
          <t>1 独立复验新异机包与密钥分离；2 复制到已批准的私有异机存储并记录收据、摘要与恢复演练；3 取得动作级授权后只删除指名资产并复核 Release 清单</t>
        </is>
      </c>
      <c r="G51" s="10" t="inlineStr">
        <is>
          <t>高</t>
        </is>
      </c>
      <c r="H51" s="10" t="inlineStr">
        <is>
          <t>Sprint6</t>
        </is>
      </c>
      <c r="I51" s="14" t="n">
        <v>13</v>
      </c>
      <c r="J51" s="15" t="n">
        <v>1.3</v>
      </c>
      <c r="K51" s="10">
        <f>ROUND(I51*J51,0)</f>
        <v/>
      </c>
      <c r="L51" s="14" t="inlineStr">
        <is>
          <t>未开始</t>
        </is>
      </c>
      <c r="M51" s="13" t="inlineStr">
        <is>
          <t>docs/OPEN_GOVERNANCE_VIOLATIONS.md</t>
        </is>
      </c>
    </row>
    <row r="52" ht="60" customHeight="1">
      <c r="A52" s="16" t="inlineStr">
        <is>
          <t>PBI_46</t>
        </is>
      </c>
      <c r="B52" s="16" t="n">
        <v>4600</v>
      </c>
      <c r="C52" s="16" t="inlineStr">
        <is>
          <t>新需求</t>
        </is>
      </c>
      <c r="D52" s="16" t="inlineStr">
        <is>
          <t>非功能性</t>
        </is>
      </c>
      <c r="E52" s="17" t="inlineStr">
        <is>
          <t>作为所有者，我希望按限额批次重跑并作废被当前相关性门拒绝的旧证据边，以便旧决策不再冒充当前支撑</t>
        </is>
      </c>
      <c r="F52" s="17" t="inlineStr">
        <is>
          <t>1 按 v2 决策清单分批，先活跃队列后其余；2 重跑失败保持 INSUFFICIENT/HUMAN_REVIEW，不改写成成功；3 每批次绑定清单哈希、限时限量与动作专属授权</t>
        </is>
      </c>
      <c r="G52" s="16" t="inlineStr">
        <is>
          <t>高</t>
        </is>
      </c>
      <c r="H52" s="16" t="inlineStr">
        <is>
          <t>Sprint6</t>
        </is>
      </c>
      <c r="I52" s="14" t="n">
        <v>20</v>
      </c>
      <c r="J52" s="15" t="n">
        <v>1.3</v>
      </c>
      <c r="K52" s="16">
        <f>ROUND(I52*J52,0)</f>
        <v/>
      </c>
      <c r="L52" s="14" t="inlineStr">
        <is>
          <t>未开始</t>
        </is>
      </c>
      <c r="M52" s="17" t="inlineStr">
        <is>
          <t>债务处置选项 A（推荐 A1+A2）</t>
        </is>
      </c>
    </row>
    <row r="53" ht="60" customHeight="1">
      <c r="A53" s="10" t="inlineStr">
        <is>
          <t>PBI_47</t>
        </is>
      </c>
      <c r="B53" s="10" t="n">
        <v>4700</v>
      </c>
      <c r="C53" s="10" t="inlineStr">
        <is>
          <t>新需求</t>
        </is>
      </c>
      <c r="D53" s="10" t="inlineStr">
        <is>
          <t>非功能性</t>
        </is>
      </c>
      <c r="E53" s="13" t="inlineStr">
        <is>
          <t>作为所有者，我希望仅因旧合同过期的 Agent decisions 按需重跑，以便不为“债务归零”做无界模型调用</t>
        </is>
      </c>
      <c r="F53" s="13" t="inlineStr">
        <is>
          <t>1 活跃队列与用户打开的事件优先；2 其余保留历史收据并显式显示过期；3 不做无界全量重跑</t>
        </is>
      </c>
      <c r="G53" s="10" t="inlineStr">
        <is>
          <t>中</t>
        </is>
      </c>
      <c r="H53" s="10" t="inlineStr">
        <is>
          <t>Sprint6</t>
        </is>
      </c>
      <c r="I53" s="14" t="n">
        <v>13</v>
      </c>
      <c r="J53" s="15" t="n">
        <v>1.2</v>
      </c>
      <c r="K53" s="10">
        <f>ROUND(I53*J53,0)</f>
        <v/>
      </c>
      <c r="L53" s="14" t="inlineStr">
        <is>
          <t>未开始</t>
        </is>
      </c>
      <c r="M53" s="13" t="inlineStr">
        <is>
          <t>债务处置选项 B</t>
        </is>
      </c>
    </row>
    <row r="54" ht="60" customHeight="1">
      <c r="A54" s="16" t="inlineStr">
        <is>
          <t>PBI_48</t>
        </is>
      </c>
      <c r="B54" s="16" t="n">
        <v>4800</v>
      </c>
      <c r="C54" s="16" t="inlineStr">
        <is>
          <t>新需求</t>
        </is>
      </c>
      <c r="D54" s="16" t="inlineStr">
        <is>
          <t>非功能性</t>
        </is>
      </c>
      <c r="E54" s="17" t="inlineStr">
        <is>
          <t>作为所有者，我希望轻量正式化历史按 review_reasons 拆分后再复核，以便既不整批回退也不继续宣称它们全部可靠</t>
        </is>
      </c>
      <c r="F54" s="17" t="inlineStr">
        <is>
          <t>1 先按 CURRENT_GATE_NOT_SUPPORTED / CONTRACT_VERSION_MISMATCH / EVENT_EVOLVED_AFTER_FORMALIZATION 拆分；2 优先审查仍影响公开结论的记录；3 任何 canonical 写入绑定限额、过期与版本/CAS 指纹</t>
        </is>
      </c>
      <c r="G54" s="16" t="inlineStr">
        <is>
          <t>中</t>
        </is>
      </c>
      <c r="H54" s="16" t="inlineStr">
        <is>
          <t>Sprint6</t>
        </is>
      </c>
      <c r="I54" s="14" t="n">
        <v>13</v>
      </c>
      <c r="J54" s="15" t="n">
        <v>1.2</v>
      </c>
      <c r="K54" s="16">
        <f>ROUND(I54*J54,0)</f>
        <v/>
      </c>
      <c r="L54" s="14" t="inlineStr">
        <is>
          <t>未开始</t>
        </is>
      </c>
      <c r="M54" s="17" t="inlineStr">
        <is>
          <t>债务处置选项 C</t>
        </is>
      </c>
    </row>
    <row r="55" ht="60" customHeight="1">
      <c r="A55" s="10" t="inlineStr">
        <is>
          <t>PBI_49</t>
        </is>
      </c>
      <c r="B55" s="10" t="n">
        <v>4900</v>
      </c>
      <c r="C55" s="10" t="inlineStr">
        <is>
          <t>新需求</t>
        </is>
      </c>
      <c r="D55" s="10" t="inlineStr">
        <is>
          <t>非功能性</t>
        </is>
      </c>
      <c r="E55" s="13" t="inlineStr">
        <is>
          <t>作为所有者，我希望 105 条来源不可证的旧配置被标记为 legacy-unproven 并排入人工复核，以便它们不再冒充已核验事实</t>
        </is>
      </c>
      <c r="F55" s="13" t="inlineStr">
        <is>
          <t>1 逐条标记 legacy-unproven 并保留原记录；2 不得用于真实人审准确率、训练真值或模型晋级；3 是否回退 canonical 作为单独的正式事实动作另行授权</t>
        </is>
      </c>
      <c r="G55" s="10" t="inlineStr">
        <is>
          <t>低</t>
        </is>
      </c>
      <c r="H55" s="10" t="inlineStr">
        <is>
          <t>Sprint6</t>
        </is>
      </c>
      <c r="I55" s="14" t="n">
        <v>8</v>
      </c>
      <c r="J55" s="15" t="n">
        <v>1</v>
      </c>
      <c r="K55" s="10">
        <f>ROUND(I55*J55,0)</f>
        <v/>
      </c>
      <c r="L55" s="14" t="inlineStr">
        <is>
          <t>未开始</t>
        </is>
      </c>
      <c r="M55" s="13" t="inlineStr">
        <is>
          <t>债务处置选项 D</t>
        </is>
      </c>
    </row>
    <row r="56" ht="60" customHeight="1">
      <c r="A56" s="16" t="inlineStr">
        <is>
          <t>PBI_50</t>
        </is>
      </c>
      <c r="B56" s="16" t="n">
        <v>5000</v>
      </c>
      <c r="C56" s="16" t="inlineStr">
        <is>
          <t>新需求</t>
        </is>
      </c>
      <c r="D56" s="16" t="inlineStr">
        <is>
          <t>非功能性</t>
        </is>
      </c>
      <c r="E56" s="17" t="inlineStr">
        <is>
          <t>作为维护者，我希望仓库只保留代表性证据、大批材料迁往 Release 或 D 盘，以便仓库不再持续变噪</t>
        </is>
      </c>
      <c r="F56" s="17" t="inlineStr">
        <is>
          <t>1 新增报告资产有明确保留理由；2 迁移分别写明 copied / validated / cut over / source cleanup；3 没有校验和不得删除原件；4 不重写既有历史</t>
        </is>
      </c>
      <c r="G56" s="16" t="inlineStr">
        <is>
          <t>低</t>
        </is>
      </c>
      <c r="H56" s="16" t="inlineStr">
        <is>
          <t>Sprint6</t>
        </is>
      </c>
      <c r="I56" s="14" t="n">
        <v>5</v>
      </c>
      <c r="J56" s="15" t="n">
        <v>1</v>
      </c>
      <c r="K56" s="16">
        <f>ROUND(I56*J56,0)</f>
        <v/>
      </c>
      <c r="L56" s="14" t="inlineStr">
        <is>
          <t>未开始</t>
        </is>
      </c>
      <c r="M56" s="17" t="inlineStr">
        <is>
          <t>NEXT_PHASE_PLAN 阶段4-3/4-4；FR-REL-007</t>
        </is>
      </c>
    </row>
    <row r="57" ht="60" customHeight="1">
      <c r="A57" s="10" t="inlineStr">
        <is>
          <t>PBI_51</t>
        </is>
      </c>
      <c r="B57" s="10" t="n">
        <v>5100</v>
      </c>
      <c r="C57" s="10" t="inlineStr">
        <is>
          <t>新需求</t>
        </is>
      </c>
      <c r="D57" s="10" t="inlineStr">
        <is>
          <t>非功能性</t>
        </is>
      </c>
      <c r="E57" s="13" t="inlineStr">
        <is>
          <t>作为课程提交人，我希望补齐教师批准、三处禁飞区手写证据和当前 release 的浏览器矩阵，以便过程分不靠已有代码量充数</t>
        </is>
      </c>
      <c r="F57" s="13" t="inlineStr">
        <is>
          <t>1 config/course_evidence_manifest.json 由学生真实填写并复跑审计；2 三处禁飞区由学生手写并能逐行讲解；3 对当前 release 重跑桌面/窄屏/键盘/可访问性矩阵；4 不用 AI 文件冒充学生过程</t>
        </is>
      </c>
      <c r="G57" s="10" t="inlineStr">
        <is>
          <t>高</t>
        </is>
      </c>
      <c r="H57" s="10" t="inlineStr">
        <is>
          <t>Sprint6</t>
        </is>
      </c>
      <c r="I57" s="14" t="n">
        <v>13</v>
      </c>
      <c r="J57" s="15" t="n">
        <v>1.2</v>
      </c>
      <c r="K57" s="10">
        <f>ROUND(I57*J57,0)</f>
        <v/>
      </c>
      <c r="L57" s="14" t="inlineStr">
        <is>
          <t>未开始</t>
        </is>
      </c>
      <c r="M57" s="13" t="inlineStr">
        <is>
          <t>ACCEPTANCE_STATUS.md Git/过程证据；plan v6.0 §13</t>
        </is>
      </c>
    </row>
  </sheetData>
  <autoFilter ref="A6:M57"/>
  <dataValidations count="1">
    <dataValidation sqref="L7:L57" showDropDown="0" showInputMessage="0" showErrorMessage="0" allowBlank="1" type="list">
      <formula1>"未开始,进行中,完成,Bug,已取消"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2">
      <c r="B2" s="1" t="inlineStr">
        <is>
          <t>团队速率（故事点 / Sprint）</t>
        </is>
      </c>
    </row>
    <row r="3">
      <c r="B3" s="18" t="inlineStr">
        <is>
          <t>团队：Finance Radar 小组（PO / SM / QA）</t>
        </is>
      </c>
    </row>
    <row r="5">
      <c r="B5" s="9" t="inlineStr">
        <is>
          <t>Sprint</t>
        </is>
      </c>
      <c r="C5" s="9" t="inlineStr">
        <is>
          <t>Sprint1</t>
        </is>
      </c>
      <c r="D5" s="9" t="inlineStr">
        <is>
          <t>Sprint2</t>
        </is>
      </c>
      <c r="E5" s="9" t="inlineStr">
        <is>
          <t>Sprint3</t>
        </is>
      </c>
      <c r="F5" s="9" t="inlineStr">
        <is>
          <t>Sprint4</t>
        </is>
      </c>
      <c r="G5" s="9" t="inlineStr">
        <is>
          <t>Sprint5</t>
        </is>
      </c>
      <c r="H5" s="9" t="inlineStr">
        <is>
          <t>Sprint6</t>
        </is>
      </c>
      <c r="I5" s="9" t="inlineStr">
        <is>
          <t>平均（Sprint1-3）</t>
        </is>
      </c>
    </row>
    <row r="6">
      <c r="B6" s="19" t="inlineStr">
        <is>
          <t>计划承诺</t>
        </is>
      </c>
      <c r="C6" s="10" t="n">
        <v>166</v>
      </c>
      <c r="D6" s="10" t="n">
        <v>77</v>
      </c>
      <c r="E6" s="10" t="n">
        <v>111</v>
      </c>
      <c r="F6" s="10" t="n">
        <v>59</v>
      </c>
      <c r="G6" s="10" t="n">
        <v>43</v>
      </c>
      <c r="H6" s="10" t="n">
        <v>117</v>
      </c>
      <c r="I6" s="19">
        <f>ROUND(AVERAGE(C6:E6),1)</f>
        <v/>
      </c>
    </row>
    <row r="7">
      <c r="B7" s="19" t="inlineStr">
        <is>
          <t>实际完成</t>
        </is>
      </c>
      <c r="C7" s="10" t="n">
        <v>166</v>
      </c>
      <c r="D7" s="10" t="n">
        <v>77</v>
      </c>
      <c r="E7" s="10" t="n">
        <v>111</v>
      </c>
      <c r="F7" s="14" t="n"/>
      <c r="G7" s="14" t="n"/>
      <c r="H7" s="14" t="n"/>
      <c r="I7" s="19">
        <f>ROUND(AVERAGE(C7:E7),1)</f>
        <v/>
      </c>
    </row>
    <row r="8">
      <c r="B8" s="19" t="inlineStr">
        <is>
          <t>日历跨度</t>
        </is>
      </c>
      <c r="C8" s="20" t="inlineStr">
        <is>
          <t>— ~ 2026-07-19</t>
        </is>
      </c>
      <c r="D8" s="20" t="inlineStr">
        <is>
          <t>2026-07-20 ~ 2026-08-15</t>
        </is>
      </c>
      <c r="E8" s="20" t="inlineStr">
        <is>
          <t>2026-08-16 ~ 2026-08-19</t>
        </is>
      </c>
      <c r="F8" s="20" t="inlineStr">
        <is>
          <t>2026-08-20 ~ 2026-09-02</t>
        </is>
      </c>
      <c r="G8" s="20" t="inlineStr">
        <is>
          <t>2026-09-03 ~ 2026-09-16</t>
        </is>
      </c>
      <c r="H8" s="20" t="inlineStr">
        <is>
          <t>2026-09-17 ~ 2026-09-30</t>
        </is>
      </c>
    </row>
    <row r="10">
      <c r="B10" s="12" t="inlineStr">
        <is>
          <t>口径：故事点为按已交付范围回溯重建的相对规模，不是当时现场记录的团队估算。</t>
        </is>
      </c>
    </row>
    <row r="11">
      <c r="B11" s="12" t="inlineStr">
        <is>
          <t>Sprint1 与 Sprint2 的日历跨度远长于两周，Sprint3 只有 4 天，因此速率不可直接横向比较。</t>
        </is>
      </c>
    </row>
    <row r="12">
      <c r="B12" s="12" t="inlineStr">
        <is>
          <t>『实际完成』留空（黄底）表示该 Sprint 尚未结束；Sprint4 起于 2026-08-20。</t>
        </is>
      </c>
    </row>
    <row r="13">
      <c r="B13" s="12" t="inlineStr">
        <is>
          <t>平均只统计已结束的 Sprint1-3：计划承诺与实际完成同为 118 点，即当时承诺的条目全部完成。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2026-08-20T09:38:43Z</dcterms:created>
  <dcterms:modified xsi:type="dcterms:W3CDTF">2026-08-20T09:38:43Z</dcterms:modified>
</cp:coreProperties>
</file>